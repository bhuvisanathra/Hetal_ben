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huvnesh\Hetal Ben\New folder (2)\"/>
    </mc:Choice>
  </mc:AlternateContent>
  <xr:revisionPtr revIDLastSave="0" documentId="13_ncr:1_{17C1888A-7093-4E5A-ADA5-F1ED2B01527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 (3)" sheetId="1" r:id="rId1"/>
    <sheet name="Sheet1 (2)" sheetId="2" r:id="rId2"/>
    <sheet name="Sheet1" sheetId="3" r:id="rId3"/>
    <sheet name="Sheet2" sheetId="4" r:id="rId4"/>
    <sheet name="Sheet8" sheetId="11" r:id="rId5"/>
    <sheet name="Sheet3" sheetId="5" r:id="rId6"/>
    <sheet name="Sheet4" sheetId="6" r:id="rId7"/>
    <sheet name="Sheet5" sheetId="7" r:id="rId8"/>
    <sheet name="Sheet6" sheetId="8" r:id="rId9"/>
    <sheet name="Sheet7" sheetId="9" r:id="rId10"/>
    <sheet name="Sheet9" sheetId="10" r:id="rId11"/>
  </sheets>
  <definedNames>
    <definedName name="_xlnm.Print_Area" localSheetId="2">Sheet1!$A$1:$I$38</definedName>
    <definedName name="_xlnm.Print_Area" localSheetId="8">Sheet6!$A$1:$L$26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0" l="1"/>
  <c r="F9" i="10" s="1"/>
  <c r="D9" i="10"/>
  <c r="G8" i="6"/>
  <c r="G7" i="6"/>
  <c r="G6" i="6"/>
  <c r="G5" i="6"/>
  <c r="G9" i="6" s="1"/>
  <c r="F5" i="10"/>
  <c r="F6" i="10"/>
  <c r="F7" i="10"/>
  <c r="F4" i="10"/>
  <c r="G38" i="3"/>
  <c r="E38" i="3"/>
  <c r="F28" i="4"/>
  <c r="E28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5" i="4"/>
  <c r="G37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5" i="3"/>
  <c r="F17" i="11"/>
  <c r="F16" i="11"/>
  <c r="F15" i="11"/>
  <c r="F14" i="11"/>
  <c r="F13" i="11"/>
  <c r="F12" i="11"/>
  <c r="F11" i="11"/>
  <c r="F10" i="11"/>
  <c r="F9" i="11"/>
  <c r="F18" i="11" s="1"/>
  <c r="H11" i="5"/>
  <c r="I6" i="5"/>
  <c r="I7" i="5"/>
  <c r="I8" i="5"/>
  <c r="I9" i="5"/>
  <c r="I10" i="5"/>
  <c r="I5" i="5"/>
  <c r="G15" i="9"/>
  <c r="G14" i="8"/>
  <c r="G8" i="7"/>
  <c r="E6" i="6"/>
  <c r="G11" i="5"/>
  <c r="G19" i="2"/>
  <c r="G22" i="1"/>
</calcChain>
</file>

<file path=xl/sharedStrings.xml><?xml version="1.0" encoding="utf-8"?>
<sst xmlns="http://schemas.openxmlformats.org/spreadsheetml/2006/main" count="517" uniqueCount="197">
  <si>
    <t xml:space="preserve">INDENT OF HOMOEOPATHIC MEDICINES REQUIRED FOR GOVERNMENT HOMOEOPATHIY DISPENSARY; GENERAL HOSPITAL, PORBANDAR </t>
  </si>
  <si>
    <t>TA: PORBANDAR                                                                DIST : PORBANDAR</t>
  </si>
  <si>
    <t>HOMOEOPATHIC DILUTION : 1M POTENCY</t>
  </si>
  <si>
    <t>NO.</t>
  </si>
  <si>
    <t>MEDICINE</t>
  </si>
  <si>
    <t>POTENCY</t>
  </si>
  <si>
    <t>REQUIRED QUANTITY</t>
  </si>
  <si>
    <t>REMARK</t>
  </si>
  <si>
    <t>ARNICA MONTANA</t>
  </si>
  <si>
    <t>1M</t>
  </si>
  <si>
    <t>2 × 100ML</t>
  </si>
  <si>
    <t>BARYTA CARB</t>
  </si>
  <si>
    <t>1 × 100ML</t>
  </si>
  <si>
    <t>CAUSTICUM</t>
  </si>
  <si>
    <t>1× 100ML</t>
  </si>
  <si>
    <t>HEPAR SULPHURIS CAL</t>
  </si>
  <si>
    <t>LACHESIS</t>
  </si>
  <si>
    <t xml:space="preserve">LYCOPODIUM CLAVATUM </t>
  </si>
  <si>
    <t>MAG PHOS</t>
  </si>
  <si>
    <t>MERCURIUS SOLUBULUS</t>
  </si>
  <si>
    <t>NATRUM MURIATICUM</t>
  </si>
  <si>
    <t>NUX VOMICA</t>
  </si>
  <si>
    <t>PETROLEUM</t>
  </si>
  <si>
    <t>PHOSPHORUS</t>
  </si>
  <si>
    <t>PULSATILLA NIGRICANS</t>
  </si>
  <si>
    <t>RHUS TOXICODENDRON</t>
  </si>
  <si>
    <t>SEPIA</t>
  </si>
  <si>
    <t>SULPHUR</t>
  </si>
  <si>
    <t>THUJA</t>
  </si>
  <si>
    <t>TOTAL</t>
  </si>
  <si>
    <t>HOMOEOPATHIC DILUTION : 6C POTENCY</t>
  </si>
  <si>
    <t>AC0NITE</t>
  </si>
  <si>
    <t>6C</t>
  </si>
  <si>
    <t>BARYTA MUR</t>
  </si>
  <si>
    <t>CHAMOMILA</t>
  </si>
  <si>
    <t xml:space="preserve">CINA </t>
  </si>
  <si>
    <t>COCCULUS</t>
  </si>
  <si>
    <t>COLCHICUM</t>
  </si>
  <si>
    <t>COLOCYNTH</t>
  </si>
  <si>
    <t>GELSEMIUM</t>
  </si>
  <si>
    <t>3 × 100ML</t>
  </si>
  <si>
    <t>IPECACUNHA</t>
  </si>
  <si>
    <t>MERCURIUS SOL.</t>
  </si>
  <si>
    <t>ROBENEA</t>
  </si>
  <si>
    <t>SPONGEA</t>
  </si>
  <si>
    <t>TARENTULA CUBEBA</t>
  </si>
  <si>
    <t>VERATRUM ALBUM</t>
  </si>
  <si>
    <t>HOMOEOPATHIC DILUTION : 30 POTENCY</t>
  </si>
  <si>
    <t xml:space="preserve">APIS MELLIFICA </t>
  </si>
  <si>
    <t xml:space="preserve">ARSENICUM ALBUM </t>
  </si>
  <si>
    <t>6 × 100ML</t>
  </si>
  <si>
    <t>ARSENICUM IODATUM</t>
  </si>
  <si>
    <t>BELLADONNA</t>
  </si>
  <si>
    <t>BERBERIS VULGARIS</t>
  </si>
  <si>
    <t>BOREX</t>
  </si>
  <si>
    <t xml:space="preserve">CARBO VEGETABILIS </t>
  </si>
  <si>
    <t>5 × 100ML</t>
  </si>
  <si>
    <t xml:space="preserve">CALCAREA CARBONICA </t>
  </si>
  <si>
    <t>CALCAREA PHOSPHORICUM</t>
  </si>
  <si>
    <t xml:space="preserve">CANTHARIS </t>
  </si>
  <si>
    <t>CHINA OFFICINALIS</t>
  </si>
  <si>
    <t>IPECACUANHA</t>
  </si>
  <si>
    <t>KALI BICHROMICUM</t>
  </si>
  <si>
    <t xml:space="preserve">NITRIC ACID </t>
  </si>
  <si>
    <t>RHUTA GRAVEOLENS</t>
  </si>
  <si>
    <t>TA PORBANDAR                                                            DIST PORBANDAR</t>
  </si>
  <si>
    <t>HOMOEOPATHIC DILUTION : 200 POTENCY</t>
  </si>
  <si>
    <t>TOTAL COST</t>
  </si>
  <si>
    <t>ALLIUM CEPA</t>
  </si>
  <si>
    <t>APIS MELLIFICA</t>
  </si>
  <si>
    <t xml:space="preserve">ARNICA MONTANA </t>
  </si>
  <si>
    <t>ARSENICUM ALBUM</t>
  </si>
  <si>
    <t>CARBO VEGETABILIS</t>
  </si>
  <si>
    <t>CANTHARIS</t>
  </si>
  <si>
    <t>LYCOPODIUM CLAVATUM</t>
  </si>
  <si>
    <t xml:space="preserve">NUX VOMICA </t>
  </si>
  <si>
    <t>SELENIUM</t>
  </si>
  <si>
    <t xml:space="preserve">SPONGIA TOSTA </t>
  </si>
  <si>
    <t xml:space="preserve">TOTAL </t>
  </si>
  <si>
    <t>TA PORBANDAR                                                 DIST PORBANDAR</t>
  </si>
  <si>
    <t>HOMOEOPATHIC BIOCHEMIC TABLETS  6 X</t>
  </si>
  <si>
    <t>6 X</t>
  </si>
  <si>
    <t>CALCAREA PHOS</t>
  </si>
  <si>
    <t xml:space="preserve">10 X 450 GM </t>
  </si>
  <si>
    <t>CALCAREA SULPH</t>
  </si>
  <si>
    <t>3 X 450 GM</t>
  </si>
  <si>
    <t>FERRUM PHOS</t>
  </si>
  <si>
    <t>10 X 450 GM</t>
  </si>
  <si>
    <t>KALI PHOS</t>
  </si>
  <si>
    <t>6 X 450 GM</t>
  </si>
  <si>
    <t xml:space="preserve">6 X 450 GM </t>
  </si>
  <si>
    <t xml:space="preserve">NATRUM PHOS </t>
  </si>
  <si>
    <t>1 X 450 GM</t>
  </si>
  <si>
    <t>TA PORBANDAR                                                             DIST PORBANDAR</t>
  </si>
  <si>
    <t xml:space="preserve">GLOBULES </t>
  </si>
  <si>
    <t xml:space="preserve">SIZE </t>
  </si>
  <si>
    <t>TOTAL QUANTITY</t>
  </si>
  <si>
    <t xml:space="preserve">GLOBULES  NO 30 </t>
  </si>
  <si>
    <t>TA PORBANDAR                                         DIST PORBANDAR</t>
  </si>
  <si>
    <t>HOMOEOPATHIC EYE / EAR DROPS</t>
  </si>
  <si>
    <t xml:space="preserve">TOTAL REQUIRED </t>
  </si>
  <si>
    <t>CINNERIA EYE DROPS</t>
  </si>
  <si>
    <t>15 ML</t>
  </si>
  <si>
    <t xml:space="preserve">50 X 15 ML </t>
  </si>
  <si>
    <t>EUPHRASIA EYE DROPS</t>
  </si>
  <si>
    <t>MULLEIN OIL EAR DROPS</t>
  </si>
  <si>
    <t xml:space="preserve"> TA PORBANDAR                                                        DIST PORBANDAR</t>
  </si>
  <si>
    <t>HOMOEOPATHIC OINTMENTS</t>
  </si>
  <si>
    <t xml:space="preserve">AESCULUS HIP. </t>
  </si>
  <si>
    <t>OINTMENT</t>
  </si>
  <si>
    <t>72 X 25 GM</t>
  </si>
  <si>
    <t>120 X 25 GM</t>
  </si>
  <si>
    <t>BERBERIS AQUI.</t>
  </si>
  <si>
    <t>CALANDULA OFFICINALIS</t>
  </si>
  <si>
    <t>96 X 25 GM</t>
  </si>
  <si>
    <t>HAMAMELLIS</t>
  </si>
  <si>
    <t>LEDUM PAL</t>
  </si>
  <si>
    <t xml:space="preserve">RHUS TOX </t>
  </si>
  <si>
    <t>TA PORBANDAR                                                                 DIST PORBANDAR</t>
  </si>
  <si>
    <t>HOMOEOPATHIC  MOTHER TINTURE ( Q )</t>
  </si>
  <si>
    <t>Q</t>
  </si>
  <si>
    <t>20 X 100 ML</t>
  </si>
  <si>
    <t>15 X 100 ML</t>
  </si>
  <si>
    <t>BLATTA ORIENTALIS</t>
  </si>
  <si>
    <t>12 X 100 ML</t>
  </si>
  <si>
    <t>CACATUS GRAND.</t>
  </si>
  <si>
    <t>1X 100 ML</t>
  </si>
  <si>
    <t>2 X 100 ML</t>
  </si>
  <si>
    <t>HYDRASTIS CAN.</t>
  </si>
  <si>
    <t>PASSIFLORA INC.</t>
  </si>
  <si>
    <t>10 X 100 ML</t>
  </si>
  <si>
    <t>PLANTAGO MAJ.</t>
  </si>
  <si>
    <t>RAUWOLFIA SER.</t>
  </si>
  <si>
    <t>1 X 100 ML</t>
  </si>
  <si>
    <t>SABAL SERRULATA</t>
  </si>
  <si>
    <t xml:space="preserve"> TA PORBANDAR                               DIST PORBANDAR</t>
  </si>
  <si>
    <t>REQUIRED QUANTITY (GROSS )</t>
  </si>
  <si>
    <t>PLASTIC PHIALS  ( 1/2 DRACHM)</t>
  </si>
  <si>
    <t xml:space="preserve">PLASTIC PHIALS ( 1 DRACHM) </t>
  </si>
  <si>
    <t xml:space="preserve">PLASTIC PHIALS ( 2 DRACHM ) </t>
  </si>
  <si>
    <t>1  OUNCE BIOCHEMIC DIS. BOTTLE</t>
  </si>
  <si>
    <t>GEN.HOSPITAL PORBANDAR</t>
  </si>
  <si>
    <t>MAJIVANA HOMI. DISP.</t>
  </si>
  <si>
    <t>MAL HOMI. DISP.</t>
  </si>
  <si>
    <t xml:space="preserve">3 X 450 GM </t>
  </si>
  <si>
    <t>2 X 450 GM</t>
  </si>
  <si>
    <t>48 X 25 GM</t>
  </si>
  <si>
    <t>144 X 25 GM</t>
  </si>
  <si>
    <t>24 X 25 GM</t>
  </si>
  <si>
    <t>28 X 25 GM</t>
  </si>
  <si>
    <t>12 X 25 GM</t>
  </si>
  <si>
    <t xml:space="preserve">10 X 1 GROSS </t>
  </si>
  <si>
    <t>25 ( KG )</t>
  </si>
  <si>
    <t>5 X 100 ML</t>
  </si>
  <si>
    <t>EUPETORIUM PER</t>
  </si>
  <si>
    <t xml:space="preserve">HYPERICUM </t>
  </si>
  <si>
    <t>DULCAMARA</t>
  </si>
  <si>
    <t>GRAPHITES</t>
  </si>
  <si>
    <t>MEGNESIUM PHOS</t>
  </si>
  <si>
    <t>MERCURIUS SOL</t>
  </si>
  <si>
    <t xml:space="preserve">INDENT OF HOMOEOPATHIC MEDICINES REQUIRED FOR GOVERNMENT HOMOEOPATHIY DISPENSARY; MAJIVANA, PORBANDAR </t>
  </si>
  <si>
    <t>RATE</t>
  </si>
  <si>
    <t>INDENT OF HOMCEOPATHIC MEDICINES</t>
  </si>
  <si>
    <r>
      <rPr>
        <sz val="17"/>
        <rFont val="Cambria"/>
        <family val="1"/>
      </rPr>
      <t>Name  of  Dispensary</t>
    </r>
  </si>
  <si>
    <r>
      <rPr>
        <sz val="25"/>
        <rFont val="Trebuchet MS"/>
        <family val="2"/>
      </rPr>
      <t>Government Homeopathy Hospital</t>
    </r>
  </si>
  <si>
    <r>
      <rPr>
        <sz val="17"/>
        <rFont val="Cambria"/>
        <family val="1"/>
      </rPr>
      <t>Address-</t>
    </r>
  </si>
  <si>
    <r>
      <rPr>
        <sz val="16.5"/>
        <rFont val="Cambria"/>
        <family val="1"/>
      </rPr>
      <t xml:space="preserve">Al-Majivana </t>
    </r>
    <r>
      <rPr>
        <sz val="16.5"/>
        <color rgb="FF00003A"/>
        <rFont val="Cambria"/>
        <family val="1"/>
      </rPr>
      <t xml:space="preserve">, </t>
    </r>
    <r>
      <rPr>
        <sz val="16.5"/>
        <rFont val="Cambria"/>
        <family val="1"/>
      </rPr>
      <t>Ta- Porbandar,  Dist- Porbandar</t>
    </r>
  </si>
  <si>
    <r>
      <rPr>
        <sz val="16"/>
        <rFont val="Cambria"/>
        <family val="1"/>
      </rPr>
      <t>Corrtacl Person-</t>
    </r>
  </si>
  <si>
    <r>
      <rPr>
        <sz val="17"/>
        <rFont val="Cambria"/>
        <family val="1"/>
      </rPr>
      <t>Mobile No.</t>
    </r>
  </si>
  <si>
    <r>
      <rPr>
        <sz val="16.5"/>
        <rFont val="Trebuchet MS"/>
        <family val="2"/>
      </rPr>
      <t xml:space="preserve">CREAM </t>
    </r>
    <r>
      <rPr>
        <sz val="16.5"/>
        <color rgb="FFA58E5D"/>
        <rFont val="Trebuchet MS"/>
        <family val="2"/>
      </rPr>
      <t>&amp;</t>
    </r>
    <r>
      <rPr>
        <sz val="16.5"/>
        <rFont val="Trebuchet MS"/>
        <family val="2"/>
      </rPr>
      <t xml:space="preserve"> OINTMENT 25 GM</t>
    </r>
  </si>
  <si>
    <r>
      <rPr>
        <sz val="17"/>
        <rFont val="Cambria"/>
        <family val="1"/>
      </rPr>
      <t>SRNO</t>
    </r>
  </si>
  <si>
    <r>
      <rPr>
        <sz val="17"/>
        <rFont val="Cambria"/>
        <family val="1"/>
      </rPr>
      <t>MAME OF ITEAM</t>
    </r>
  </si>
  <si>
    <r>
      <rPr>
        <sz val="17"/>
        <rFont val="Cambria"/>
        <family val="1"/>
      </rPr>
      <t>PACKED</t>
    </r>
  </si>
  <si>
    <r>
      <rPr>
        <sz val="17"/>
        <rFont val="Cambria"/>
        <family val="1"/>
      </rPr>
      <t>FTE</t>
    </r>
  </si>
  <si>
    <r>
      <rPr>
        <sz val="15.5"/>
        <rFont val="Cambria"/>
        <family val="1"/>
      </rPr>
      <t>QUANTITY</t>
    </r>
  </si>
  <si>
    <r>
      <rPr>
        <sz val="16"/>
        <rFont val="Cambria"/>
        <family val="1"/>
      </rPr>
      <t>TOTAL</t>
    </r>
  </si>
  <si>
    <r>
      <rPr>
        <sz val="16.5"/>
        <rFont val="Cambria"/>
        <family val="1"/>
      </rPr>
      <t>AESCULUS HIPP  CREAM  25 GMS</t>
    </r>
  </si>
  <si>
    <t>25 GM S</t>
  </si>
  <si>
    <t>ARNICA OINTMENT  25 GMS</t>
  </si>
  <si>
    <t>BERBERIS AQU CREAM  25 GMS</t>
  </si>
  <si>
    <r>
      <rPr>
        <sz val="16.5"/>
        <rFont val="Cambria"/>
        <family val="1"/>
      </rPr>
      <t>CALENDULA CREAM  25 GMS</t>
    </r>
  </si>
  <si>
    <r>
      <rPr>
        <sz val="16.5"/>
        <rFont val="Cambria"/>
        <family val="1"/>
      </rPr>
      <t>CANTHARIS  CREAM  - 25 GM S</t>
    </r>
  </si>
  <si>
    <r>
      <rPr>
        <sz val="16"/>
        <rFont val="Cambria"/>
        <family val="1"/>
      </rPr>
      <t>HAMAMELIS CREAM   25 GMS</t>
    </r>
  </si>
  <si>
    <t>LEDUM  PALUSTRE  CREAM  25 GM S</t>
  </si>
  <si>
    <t>PETROLEUM  OINTMENT 25 GM S</t>
  </si>
  <si>
    <t>RHUSTOX OINTMENT - 25 GMS</t>
  </si>
  <si>
    <r>
      <rPr>
        <sz val="16.5"/>
        <rFont val="Cambria"/>
        <family val="1"/>
      </rPr>
      <t>Total</t>
    </r>
  </si>
  <si>
    <t>Total</t>
  </si>
  <si>
    <t>Dr. Hetalben Pandya</t>
  </si>
  <si>
    <t>Rate</t>
  </si>
  <si>
    <t>2× 100ML</t>
  </si>
  <si>
    <t xml:space="preserve">INDENT OF HOMOEOPATHIC MEDICINES REQUIRED FOR GOVERNMENT HOMOEOPATHIC DISPENSARY; MAJIVANA, PORBANDAR </t>
  </si>
  <si>
    <t xml:space="preserve">HOMOEOPATHIC GLOBULES </t>
  </si>
  <si>
    <t>GLOBULES  NO 30 (1 KG)</t>
  </si>
  <si>
    <t xml:space="preserve"> 20 X 1 GROSS </t>
  </si>
  <si>
    <t>30 X 1 GROSS</t>
  </si>
  <si>
    <t>2 X 1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</si>
</sst>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  <family val="2"/>
    </font>
    <font>
      <sz val="34"/>
      <color rgb="FF000000"/>
      <name val="Times New Roman"/>
      <family val="1"/>
    </font>
    <font>
      <sz val="17"/>
      <name val="Cambria"/>
      <family val="1"/>
    </font>
    <font>
      <sz val="25"/>
      <name val="Trebuchet MS"/>
      <family val="2"/>
    </font>
    <font>
      <sz val="16.5"/>
      <name val="Cambria"/>
      <family val="1"/>
    </font>
    <font>
      <sz val="16.5"/>
      <color rgb="FF00003A"/>
      <name val="Cambria"/>
      <family val="1"/>
    </font>
    <font>
      <sz val="16"/>
      <name val="Cambria"/>
      <family val="1"/>
    </font>
    <font>
      <sz val="16.5"/>
      <color rgb="FF000000"/>
      <name val="Trebuchet MS"/>
      <family val="2"/>
    </font>
    <font>
      <sz val="16.5"/>
      <name val="Trebuchet MS"/>
      <family val="2"/>
    </font>
    <font>
      <sz val="16.5"/>
      <color rgb="FFA58E5D"/>
      <name val="Trebuchet MS"/>
      <family val="2"/>
    </font>
    <font>
      <sz val="15.5"/>
      <name val="Cambria"/>
      <family val="1"/>
    </font>
    <font>
      <sz val="17"/>
      <color rgb="FF000000"/>
      <name val="Times New Roman"/>
      <family val="2"/>
    </font>
    <font>
      <sz val="20"/>
      <color rgb="FF000000"/>
      <name val="Calibri"/>
      <family val="2"/>
    </font>
    <font>
      <sz val="2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/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vertical="center"/>
    </xf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7" fillId="0" borderId="5" xfId="0" applyFont="1" applyBorder="1" applyAlignment="1">
      <alignment horizontal="right" vertical="top" wrapText="1"/>
    </xf>
    <xf numFmtId="0" fontId="7" fillId="0" borderId="5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right" vertical="top" wrapText="1"/>
    </xf>
    <xf numFmtId="0" fontId="11" fillId="0" borderId="5" xfId="0" applyFont="1" applyBorder="1" applyAlignment="1">
      <alignment horizontal="center" vertical="top" wrapText="1"/>
    </xf>
    <xf numFmtId="2" fontId="7" fillId="0" borderId="5" xfId="0" applyNumberFormat="1" applyFont="1" applyBorder="1" applyAlignment="1">
      <alignment horizontal="left" vertical="top" wrapText="1"/>
    </xf>
    <xf numFmtId="2" fontId="16" fillId="0" borderId="5" xfId="0" applyNumberFormat="1" applyFont="1" applyBorder="1" applyAlignment="1">
      <alignment horizontal="right" vertical="top" shrinkToFit="1"/>
    </xf>
    <xf numFmtId="2" fontId="15" fillId="0" borderId="5" xfId="0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0" fillId="0" borderId="0" xfId="0" applyFont="1" applyBorder="1"/>
    <xf numFmtId="0" fontId="2" fillId="0" borderId="0" xfId="0" applyFont="1" applyBorder="1" applyAlignment="1"/>
    <xf numFmtId="0" fontId="0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top" wrapText="1"/>
    </xf>
    <xf numFmtId="1" fontId="12" fillId="0" borderId="5" xfId="0" applyNumberFormat="1" applyFont="1" applyBorder="1" applyAlignment="1">
      <alignment horizontal="left" vertical="top" shrinkToFit="1"/>
    </xf>
    <xf numFmtId="0" fontId="13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0" borderId="5" xfId="0" applyFont="1" applyBorder="1" applyAlignment="1"/>
    <xf numFmtId="0" fontId="0" fillId="0" borderId="0" xfId="0" applyFont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0" fillId="0" borderId="5" xfId="0" applyFont="1" applyBorder="1" applyAlignment="1"/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right"/>
    </xf>
    <xf numFmtId="0" fontId="2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>
      <selection activeCell="J1" sqref="J1"/>
    </sheetView>
  </sheetViews>
  <sheetFormatPr defaultColWidth="14.44140625" defaultRowHeight="15" customHeight="1" x14ac:dyDescent="0.3"/>
  <cols>
    <col min="1" max="1" width="4.44140625" customWidth="1"/>
    <col min="2" max="2" width="24.5546875" customWidth="1"/>
    <col min="3" max="6" width="11.6640625" customWidth="1"/>
    <col min="7" max="7" width="16.33203125" customWidth="1"/>
    <col min="8" max="8" width="11.5546875" customWidth="1"/>
  </cols>
  <sheetData>
    <row r="1" spans="1:8" ht="69.75" customHeight="1" x14ac:dyDescent="0.3">
      <c r="A1" s="47" t="s">
        <v>160</v>
      </c>
      <c r="B1" s="48"/>
      <c r="C1" s="48"/>
      <c r="D1" s="48"/>
      <c r="E1" s="48"/>
      <c r="F1" s="48"/>
      <c r="G1" s="48"/>
      <c r="H1" s="49"/>
    </row>
    <row r="2" spans="1:8" ht="21" customHeight="1" x14ac:dyDescent="0.3">
      <c r="A2" s="50" t="s">
        <v>1</v>
      </c>
      <c r="B2" s="51"/>
      <c r="C2" s="51"/>
      <c r="D2" s="51"/>
      <c r="E2" s="51"/>
      <c r="F2" s="51"/>
      <c r="G2" s="51"/>
      <c r="H2" s="52"/>
    </row>
    <row r="3" spans="1:8" ht="24" customHeight="1" x14ac:dyDescent="0.3">
      <c r="A3" s="50" t="s">
        <v>2</v>
      </c>
      <c r="B3" s="48"/>
      <c r="C3" s="48"/>
      <c r="D3" s="48"/>
      <c r="E3" s="48"/>
      <c r="F3" s="48"/>
      <c r="G3" s="48"/>
      <c r="H3" s="49"/>
    </row>
    <row r="4" spans="1:8" ht="46.5" customHeight="1" x14ac:dyDescent="0.3">
      <c r="A4" s="2" t="s">
        <v>3</v>
      </c>
      <c r="B4" s="2" t="s">
        <v>4</v>
      </c>
      <c r="C4" s="2" t="s">
        <v>5</v>
      </c>
      <c r="D4" s="3" t="s">
        <v>141</v>
      </c>
      <c r="E4" s="3" t="s">
        <v>143</v>
      </c>
      <c r="F4" s="3" t="s">
        <v>142</v>
      </c>
      <c r="G4" s="3" t="s">
        <v>6</v>
      </c>
      <c r="H4" s="3" t="s">
        <v>7</v>
      </c>
    </row>
    <row r="5" spans="1:8" ht="14.4" x14ac:dyDescent="0.3">
      <c r="A5" s="4">
        <v>1</v>
      </c>
      <c r="B5" s="5" t="s">
        <v>8</v>
      </c>
      <c r="C5" s="6" t="s">
        <v>9</v>
      </c>
      <c r="D5" s="7" t="s">
        <v>10</v>
      </c>
      <c r="E5" s="7">
        <v>0</v>
      </c>
      <c r="F5" s="7" t="s">
        <v>10</v>
      </c>
      <c r="G5" s="6">
        <v>4</v>
      </c>
      <c r="H5" s="6"/>
    </row>
    <row r="6" spans="1:8" ht="14.4" x14ac:dyDescent="0.3">
      <c r="A6" s="4">
        <v>2</v>
      </c>
      <c r="B6" s="5" t="s">
        <v>11</v>
      </c>
      <c r="C6" s="6" t="s">
        <v>9</v>
      </c>
      <c r="D6" s="7" t="s">
        <v>12</v>
      </c>
      <c r="E6" s="7">
        <v>0</v>
      </c>
      <c r="F6" s="7" t="s">
        <v>12</v>
      </c>
      <c r="G6" s="6">
        <v>2</v>
      </c>
      <c r="H6" s="6"/>
    </row>
    <row r="7" spans="1:8" ht="14.4" x14ac:dyDescent="0.3">
      <c r="A7" s="4">
        <v>3</v>
      </c>
      <c r="B7" s="5" t="s">
        <v>13</v>
      </c>
      <c r="C7" s="6" t="s">
        <v>9</v>
      </c>
      <c r="D7" s="7" t="s">
        <v>14</v>
      </c>
      <c r="E7" s="7">
        <v>0</v>
      </c>
      <c r="F7" s="7" t="s">
        <v>14</v>
      </c>
      <c r="G7" s="6">
        <v>2</v>
      </c>
      <c r="H7" s="8"/>
    </row>
    <row r="8" spans="1:8" ht="14.4" x14ac:dyDescent="0.3">
      <c r="A8" s="4">
        <v>4</v>
      </c>
      <c r="B8" s="5" t="s">
        <v>15</v>
      </c>
      <c r="C8" s="6" t="s">
        <v>9</v>
      </c>
      <c r="D8" s="7" t="s">
        <v>12</v>
      </c>
      <c r="E8" s="7">
        <v>0</v>
      </c>
      <c r="F8" s="7" t="s">
        <v>12</v>
      </c>
      <c r="G8" s="6">
        <v>2</v>
      </c>
      <c r="H8" s="8"/>
    </row>
    <row r="9" spans="1:8" ht="15.75" customHeight="1" x14ac:dyDescent="0.3">
      <c r="A9" s="4">
        <v>5</v>
      </c>
      <c r="B9" s="5" t="s">
        <v>16</v>
      </c>
      <c r="C9" s="6" t="s">
        <v>9</v>
      </c>
      <c r="D9" s="7" t="s">
        <v>12</v>
      </c>
      <c r="E9" s="7">
        <v>0</v>
      </c>
      <c r="F9" s="7" t="s">
        <v>12</v>
      </c>
      <c r="G9" s="6">
        <v>2</v>
      </c>
      <c r="H9" s="8"/>
    </row>
    <row r="10" spans="1:8" ht="15.75" customHeight="1" x14ac:dyDescent="0.3">
      <c r="A10" s="4">
        <v>6</v>
      </c>
      <c r="B10" s="5" t="s">
        <v>17</v>
      </c>
      <c r="C10" s="6" t="s">
        <v>9</v>
      </c>
      <c r="D10" s="7" t="s">
        <v>12</v>
      </c>
      <c r="E10" s="7">
        <v>0</v>
      </c>
      <c r="F10" s="7" t="s">
        <v>12</v>
      </c>
      <c r="G10" s="6">
        <v>2</v>
      </c>
      <c r="H10" s="8"/>
    </row>
    <row r="11" spans="1:8" ht="15.75" customHeight="1" x14ac:dyDescent="0.3">
      <c r="A11" s="4">
        <v>7</v>
      </c>
      <c r="B11" s="5" t="s">
        <v>18</v>
      </c>
      <c r="C11" s="6" t="s">
        <v>9</v>
      </c>
      <c r="D11" s="7" t="s">
        <v>10</v>
      </c>
      <c r="E11" s="7">
        <v>0</v>
      </c>
      <c r="F11" s="7" t="s">
        <v>10</v>
      </c>
      <c r="G11" s="6">
        <v>4</v>
      </c>
      <c r="H11" s="8"/>
    </row>
    <row r="12" spans="1:8" ht="15.75" customHeight="1" x14ac:dyDescent="0.3">
      <c r="A12" s="4">
        <v>8</v>
      </c>
      <c r="B12" s="5" t="s">
        <v>19</v>
      </c>
      <c r="C12" s="6" t="s">
        <v>9</v>
      </c>
      <c r="D12" s="7" t="s">
        <v>12</v>
      </c>
      <c r="E12" s="7">
        <v>0</v>
      </c>
      <c r="F12" s="7" t="s">
        <v>12</v>
      </c>
      <c r="G12" s="6">
        <v>2</v>
      </c>
      <c r="H12" s="8"/>
    </row>
    <row r="13" spans="1:8" ht="15.75" customHeight="1" x14ac:dyDescent="0.3">
      <c r="A13" s="4">
        <v>9</v>
      </c>
      <c r="B13" s="5" t="s">
        <v>20</v>
      </c>
      <c r="C13" s="6" t="s">
        <v>9</v>
      </c>
      <c r="D13" s="7" t="s">
        <v>12</v>
      </c>
      <c r="E13" s="7">
        <v>0</v>
      </c>
      <c r="F13" s="7" t="s">
        <v>12</v>
      </c>
      <c r="G13" s="6">
        <v>2</v>
      </c>
      <c r="H13" s="8"/>
    </row>
    <row r="14" spans="1:8" ht="15.75" customHeight="1" x14ac:dyDescent="0.3">
      <c r="A14" s="4">
        <v>10</v>
      </c>
      <c r="B14" s="5" t="s">
        <v>21</v>
      </c>
      <c r="C14" s="6" t="s">
        <v>9</v>
      </c>
      <c r="D14" s="7" t="s">
        <v>10</v>
      </c>
      <c r="E14" s="7">
        <v>0</v>
      </c>
      <c r="F14" s="7" t="s">
        <v>10</v>
      </c>
      <c r="G14" s="6">
        <v>4</v>
      </c>
      <c r="H14" s="8"/>
    </row>
    <row r="15" spans="1:8" ht="15.75" customHeight="1" x14ac:dyDescent="0.3">
      <c r="A15" s="4">
        <v>11</v>
      </c>
      <c r="B15" s="5" t="s">
        <v>22</v>
      </c>
      <c r="C15" s="6" t="s">
        <v>9</v>
      </c>
      <c r="D15" s="7" t="s">
        <v>12</v>
      </c>
      <c r="E15" s="7">
        <v>0</v>
      </c>
      <c r="F15" s="7" t="s">
        <v>12</v>
      </c>
      <c r="G15" s="6">
        <v>2</v>
      </c>
      <c r="H15" s="8"/>
    </row>
    <row r="16" spans="1:8" ht="15.75" customHeight="1" x14ac:dyDescent="0.3">
      <c r="A16" s="4">
        <v>12</v>
      </c>
      <c r="B16" s="5" t="s">
        <v>23</v>
      </c>
      <c r="C16" s="6" t="s">
        <v>9</v>
      </c>
      <c r="D16" s="7" t="s">
        <v>12</v>
      </c>
      <c r="E16" s="7">
        <v>0</v>
      </c>
      <c r="F16" s="7" t="s">
        <v>12</v>
      </c>
      <c r="G16" s="6">
        <v>2</v>
      </c>
      <c r="H16" s="8"/>
    </row>
    <row r="17" spans="1:8" ht="15.75" customHeight="1" x14ac:dyDescent="0.3">
      <c r="A17" s="4">
        <v>13</v>
      </c>
      <c r="B17" s="5" t="s">
        <v>24</v>
      </c>
      <c r="C17" s="6" t="s">
        <v>9</v>
      </c>
      <c r="D17" s="7" t="s">
        <v>12</v>
      </c>
      <c r="E17" s="7">
        <v>0</v>
      </c>
      <c r="F17" s="7" t="s">
        <v>12</v>
      </c>
      <c r="G17" s="6">
        <v>2</v>
      </c>
      <c r="H17" s="8"/>
    </row>
    <row r="18" spans="1:8" ht="15.75" customHeight="1" x14ac:dyDescent="0.3">
      <c r="A18" s="4">
        <v>14</v>
      </c>
      <c r="B18" s="5" t="s">
        <v>25</v>
      </c>
      <c r="C18" s="6" t="s">
        <v>9</v>
      </c>
      <c r="D18" s="7" t="s">
        <v>10</v>
      </c>
      <c r="E18" s="15">
        <v>0</v>
      </c>
      <c r="F18" s="7" t="s">
        <v>10</v>
      </c>
      <c r="G18" s="6">
        <v>4</v>
      </c>
      <c r="H18" s="8"/>
    </row>
    <row r="19" spans="1:8" ht="15.75" customHeight="1" x14ac:dyDescent="0.3">
      <c r="A19" s="4">
        <v>15</v>
      </c>
      <c r="B19" s="5" t="s">
        <v>26</v>
      </c>
      <c r="C19" s="6" t="s">
        <v>9</v>
      </c>
      <c r="D19" s="7" t="s">
        <v>12</v>
      </c>
      <c r="E19" s="7">
        <v>0</v>
      </c>
      <c r="F19" s="7" t="s">
        <v>12</v>
      </c>
      <c r="G19" s="6">
        <v>2</v>
      </c>
      <c r="H19" s="8"/>
    </row>
    <row r="20" spans="1:8" ht="15.75" customHeight="1" x14ac:dyDescent="0.3">
      <c r="A20" s="4">
        <v>16</v>
      </c>
      <c r="B20" s="5" t="s">
        <v>27</v>
      </c>
      <c r="C20" s="6" t="s">
        <v>9</v>
      </c>
      <c r="D20" s="7" t="s">
        <v>12</v>
      </c>
      <c r="E20" s="7">
        <v>0</v>
      </c>
      <c r="F20" s="7" t="s">
        <v>12</v>
      </c>
      <c r="G20" s="6">
        <v>2</v>
      </c>
      <c r="H20" s="8"/>
    </row>
    <row r="21" spans="1:8" ht="15.75" customHeight="1" x14ac:dyDescent="0.3">
      <c r="A21" s="4">
        <v>17</v>
      </c>
      <c r="B21" s="5" t="s">
        <v>28</v>
      </c>
      <c r="C21" s="6" t="s">
        <v>9</v>
      </c>
      <c r="D21" s="7" t="s">
        <v>12</v>
      </c>
      <c r="E21" s="7">
        <v>0</v>
      </c>
      <c r="F21" s="7" t="s">
        <v>12</v>
      </c>
      <c r="G21" s="6">
        <v>2</v>
      </c>
      <c r="H21" s="8"/>
    </row>
    <row r="22" spans="1:8" ht="15.75" customHeight="1" x14ac:dyDescent="0.3">
      <c r="A22" s="50" t="s">
        <v>29</v>
      </c>
      <c r="B22" s="48"/>
      <c r="C22" s="48"/>
      <c r="D22" s="48"/>
      <c r="E22" s="48"/>
      <c r="F22" s="48"/>
      <c r="G22" s="9">
        <f>SUM(G5:G21)</f>
        <v>42</v>
      </c>
      <c r="H22" s="8"/>
    </row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4">
    <mergeCell ref="A1:H1"/>
    <mergeCell ref="A2:H2"/>
    <mergeCell ref="A3:H3"/>
    <mergeCell ref="A22:F2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A5" sqref="A5"/>
    </sheetView>
  </sheetViews>
  <sheetFormatPr defaultColWidth="14.44140625" defaultRowHeight="15" customHeight="1" x14ac:dyDescent="0.3"/>
  <cols>
    <col min="1" max="1" width="4.44140625" customWidth="1"/>
    <col min="2" max="2" width="24.5546875" customWidth="1"/>
    <col min="3" max="3" width="11.6640625" customWidth="1"/>
    <col min="4" max="4" width="15.44140625" customWidth="1"/>
    <col min="5" max="6" width="11.6640625" customWidth="1"/>
    <col min="7" max="7" width="16.33203125" customWidth="1"/>
    <col min="8" max="8" width="11.5546875" customWidth="1"/>
  </cols>
  <sheetData>
    <row r="1" spans="1:8" ht="69.75" customHeight="1" x14ac:dyDescent="0.3">
      <c r="A1" s="47" t="s">
        <v>160</v>
      </c>
      <c r="B1" s="48"/>
      <c r="C1" s="48"/>
      <c r="D1" s="48"/>
      <c r="E1" s="48"/>
      <c r="F1" s="48"/>
      <c r="G1" s="48"/>
      <c r="H1" s="49"/>
    </row>
    <row r="2" spans="1:8" ht="21" customHeight="1" x14ac:dyDescent="0.3">
      <c r="A2" s="50" t="s">
        <v>1</v>
      </c>
      <c r="B2" s="51"/>
      <c r="C2" s="51"/>
      <c r="D2" s="51"/>
      <c r="E2" s="51"/>
      <c r="F2" s="51"/>
      <c r="G2" s="51"/>
      <c r="H2" s="52"/>
    </row>
    <row r="3" spans="1:8" ht="24" customHeight="1" x14ac:dyDescent="0.3">
      <c r="A3" s="50" t="s">
        <v>30</v>
      </c>
      <c r="B3" s="48"/>
      <c r="C3" s="48"/>
      <c r="D3" s="48"/>
      <c r="E3" s="48"/>
      <c r="F3" s="48"/>
      <c r="G3" s="48"/>
      <c r="H3" s="49"/>
    </row>
    <row r="4" spans="1:8" ht="48" customHeight="1" x14ac:dyDescent="0.3">
      <c r="A4" s="2" t="s">
        <v>3</v>
      </c>
      <c r="B4" s="2" t="s">
        <v>4</v>
      </c>
      <c r="C4" s="2" t="s">
        <v>5</v>
      </c>
      <c r="D4" s="3" t="s">
        <v>141</v>
      </c>
      <c r="E4" s="3" t="s">
        <v>143</v>
      </c>
      <c r="F4" s="3" t="s">
        <v>142</v>
      </c>
      <c r="G4" s="3" t="s">
        <v>6</v>
      </c>
      <c r="H4" s="3" t="s">
        <v>7</v>
      </c>
    </row>
    <row r="5" spans="1:8" ht="14.4" x14ac:dyDescent="0.3">
      <c r="A5" s="6">
        <v>1</v>
      </c>
      <c r="B5" s="5" t="s">
        <v>31</v>
      </c>
      <c r="C5" s="6" t="s">
        <v>32</v>
      </c>
      <c r="D5" s="7" t="s">
        <v>12</v>
      </c>
      <c r="E5" s="7">
        <v>0</v>
      </c>
      <c r="F5" s="7" t="s">
        <v>12</v>
      </c>
      <c r="G5" s="6">
        <v>2</v>
      </c>
      <c r="H5" s="6"/>
    </row>
    <row r="6" spans="1:8" ht="14.4" x14ac:dyDescent="0.3">
      <c r="A6" s="4">
        <v>2</v>
      </c>
      <c r="B6" s="5" t="s">
        <v>33</v>
      </c>
      <c r="C6" s="6" t="s">
        <v>32</v>
      </c>
      <c r="D6" s="7" t="s">
        <v>12</v>
      </c>
      <c r="E6" s="7">
        <v>0</v>
      </c>
      <c r="F6" s="7" t="s">
        <v>12</v>
      </c>
      <c r="G6" s="6">
        <v>2</v>
      </c>
      <c r="H6" s="6"/>
    </row>
    <row r="7" spans="1:8" ht="14.4" x14ac:dyDescent="0.3">
      <c r="A7" s="4">
        <v>3</v>
      </c>
      <c r="B7" s="5" t="s">
        <v>34</v>
      </c>
      <c r="C7" s="6" t="s">
        <v>32</v>
      </c>
      <c r="D7" s="7" t="s">
        <v>12</v>
      </c>
      <c r="E7" s="7">
        <v>0</v>
      </c>
      <c r="F7" s="7" t="s">
        <v>12</v>
      </c>
      <c r="G7" s="6">
        <v>2</v>
      </c>
      <c r="H7" s="6"/>
    </row>
    <row r="8" spans="1:8" ht="14.4" x14ac:dyDescent="0.3">
      <c r="A8" s="4">
        <v>4</v>
      </c>
      <c r="B8" s="5" t="s">
        <v>35</v>
      </c>
      <c r="C8" s="6" t="s">
        <v>32</v>
      </c>
      <c r="D8" s="7" t="s">
        <v>12</v>
      </c>
      <c r="E8" s="7">
        <v>0</v>
      </c>
      <c r="F8" s="7" t="s">
        <v>12</v>
      </c>
      <c r="G8" s="6">
        <v>2</v>
      </c>
      <c r="H8" s="6"/>
    </row>
    <row r="9" spans="1:8" ht="14.4" x14ac:dyDescent="0.3">
      <c r="A9" s="4">
        <v>5</v>
      </c>
      <c r="B9" s="5" t="s">
        <v>36</v>
      </c>
      <c r="C9" s="6" t="s">
        <v>32</v>
      </c>
      <c r="D9" s="7" t="s">
        <v>12</v>
      </c>
      <c r="E9" s="7">
        <v>0</v>
      </c>
      <c r="F9" s="7" t="s">
        <v>12</v>
      </c>
      <c r="G9" s="6">
        <v>2</v>
      </c>
      <c r="H9" s="6"/>
    </row>
    <row r="10" spans="1:8" ht="14.4" x14ac:dyDescent="0.3">
      <c r="A10" s="4">
        <v>6</v>
      </c>
      <c r="B10" s="5" t="s">
        <v>37</v>
      </c>
      <c r="C10" s="6" t="s">
        <v>32</v>
      </c>
      <c r="D10" s="7" t="s">
        <v>12</v>
      </c>
      <c r="E10" s="7">
        <v>0</v>
      </c>
      <c r="F10" s="7" t="s">
        <v>12</v>
      </c>
      <c r="G10" s="6">
        <v>2</v>
      </c>
      <c r="H10" s="6"/>
    </row>
    <row r="11" spans="1:8" ht="14.4" x14ac:dyDescent="0.3">
      <c r="A11" s="4">
        <v>7</v>
      </c>
      <c r="B11" s="5" t="s">
        <v>38</v>
      </c>
      <c r="C11" s="6" t="s">
        <v>32</v>
      </c>
      <c r="D11" s="7" t="s">
        <v>10</v>
      </c>
      <c r="E11" s="7">
        <v>0</v>
      </c>
      <c r="F11" s="7" t="s">
        <v>10</v>
      </c>
      <c r="G11" s="6">
        <v>4</v>
      </c>
      <c r="H11" s="6"/>
    </row>
    <row r="12" spans="1:8" ht="14.4" x14ac:dyDescent="0.3">
      <c r="A12" s="4">
        <v>8</v>
      </c>
      <c r="B12" s="5" t="s">
        <v>39</v>
      </c>
      <c r="C12" s="6" t="s">
        <v>32</v>
      </c>
      <c r="D12" s="7" t="s">
        <v>40</v>
      </c>
      <c r="E12" s="7">
        <v>0</v>
      </c>
      <c r="F12" s="7" t="s">
        <v>40</v>
      </c>
      <c r="G12" s="6">
        <v>6</v>
      </c>
      <c r="H12" s="6"/>
    </row>
    <row r="13" spans="1:8" ht="14.4" x14ac:dyDescent="0.3">
      <c r="A13" s="4">
        <v>9</v>
      </c>
      <c r="B13" s="5" t="s">
        <v>41</v>
      </c>
      <c r="C13" s="6" t="s">
        <v>32</v>
      </c>
      <c r="D13" s="7" t="s">
        <v>12</v>
      </c>
      <c r="E13" s="7">
        <v>0</v>
      </c>
      <c r="F13" s="7" t="s">
        <v>12</v>
      </c>
      <c r="G13" s="6">
        <v>2</v>
      </c>
      <c r="H13" s="8"/>
    </row>
    <row r="14" spans="1:8" ht="14.4" x14ac:dyDescent="0.3">
      <c r="A14" s="4">
        <v>10</v>
      </c>
      <c r="B14" s="5" t="s">
        <v>42</v>
      </c>
      <c r="C14" s="6" t="s">
        <v>32</v>
      </c>
      <c r="D14" s="7" t="s">
        <v>14</v>
      </c>
      <c r="E14" s="7">
        <v>0</v>
      </c>
      <c r="F14" s="7" t="s">
        <v>14</v>
      </c>
      <c r="G14" s="6">
        <v>2</v>
      </c>
      <c r="H14" s="8"/>
    </row>
    <row r="15" spans="1:8" ht="14.4" x14ac:dyDescent="0.3">
      <c r="A15" s="4">
        <v>11</v>
      </c>
      <c r="B15" s="5" t="s">
        <v>43</v>
      </c>
      <c r="C15" s="6" t="s">
        <v>32</v>
      </c>
      <c r="D15" s="7" t="s">
        <v>14</v>
      </c>
      <c r="E15" s="7">
        <v>0</v>
      </c>
      <c r="F15" s="7" t="s">
        <v>14</v>
      </c>
      <c r="G15" s="6">
        <v>2</v>
      </c>
      <c r="H15" s="8"/>
    </row>
    <row r="16" spans="1:8" ht="14.4" x14ac:dyDescent="0.3">
      <c r="A16" s="4">
        <v>12</v>
      </c>
      <c r="B16" s="5" t="s">
        <v>44</v>
      </c>
      <c r="C16" s="6" t="s">
        <v>32</v>
      </c>
      <c r="D16" s="7" t="s">
        <v>12</v>
      </c>
      <c r="E16" s="7">
        <v>0</v>
      </c>
      <c r="F16" s="7" t="s">
        <v>12</v>
      </c>
      <c r="G16" s="6">
        <v>2</v>
      </c>
      <c r="H16" s="8"/>
    </row>
    <row r="17" spans="1:8" ht="14.4" x14ac:dyDescent="0.3">
      <c r="A17" s="4">
        <v>13</v>
      </c>
      <c r="B17" s="5" t="s">
        <v>45</v>
      </c>
      <c r="C17" s="6" t="s">
        <v>32</v>
      </c>
      <c r="D17" s="7" t="s">
        <v>10</v>
      </c>
      <c r="E17" s="7">
        <v>0</v>
      </c>
      <c r="F17" s="7" t="s">
        <v>10</v>
      </c>
      <c r="G17" s="6">
        <v>4</v>
      </c>
      <c r="H17" s="8"/>
    </row>
    <row r="18" spans="1:8" ht="14.4" x14ac:dyDescent="0.3">
      <c r="A18" s="4">
        <v>14</v>
      </c>
      <c r="B18" s="5" t="s">
        <v>46</v>
      </c>
      <c r="C18" s="6" t="s">
        <v>32</v>
      </c>
      <c r="D18" s="7" t="s">
        <v>12</v>
      </c>
      <c r="E18" s="7">
        <v>0</v>
      </c>
      <c r="F18" s="7" t="s">
        <v>12</v>
      </c>
      <c r="G18" s="6">
        <v>2</v>
      </c>
      <c r="H18" s="8"/>
    </row>
    <row r="19" spans="1:8" ht="15.75" customHeight="1" x14ac:dyDescent="0.3">
      <c r="A19" s="50" t="s">
        <v>29</v>
      </c>
      <c r="B19" s="48"/>
      <c r="C19" s="48"/>
      <c r="D19" s="48"/>
      <c r="E19" s="48"/>
      <c r="F19" s="48"/>
      <c r="G19" s="9">
        <f>SUM(G5:G18)</f>
        <v>36</v>
      </c>
      <c r="H19" s="8"/>
    </row>
    <row r="20" spans="1:8" ht="15.75" customHeight="1" x14ac:dyDescent="0.3"/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4">
    <mergeCell ref="A1:H1"/>
    <mergeCell ref="A2:H2"/>
    <mergeCell ref="A3:H3"/>
    <mergeCell ref="A19:F1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"/>
  <sheetViews>
    <sheetView tabSelected="1" zoomScale="70" zoomScaleNormal="70" workbookViewId="0">
      <selection activeCell="G38" sqref="A1:G38"/>
    </sheetView>
  </sheetViews>
  <sheetFormatPr defaultColWidth="14.44140625" defaultRowHeight="15" customHeight="1" x14ac:dyDescent="0.3"/>
  <cols>
    <col min="1" max="1" width="4.44140625" customWidth="1"/>
    <col min="2" max="2" width="24.5546875" customWidth="1"/>
    <col min="3" max="3" width="12.44140625" bestFit="1" customWidth="1"/>
    <col min="4" max="4" width="9.77734375" bestFit="1" customWidth="1"/>
    <col min="5" max="5" width="10.88671875" bestFit="1" customWidth="1"/>
    <col min="6" max="6" width="11.6640625" customWidth="1"/>
    <col min="7" max="7" width="10.33203125" bestFit="1" customWidth="1"/>
    <col min="8" max="8" width="11.5546875" customWidth="1"/>
  </cols>
  <sheetData>
    <row r="1" spans="1:10" ht="69.75" customHeight="1" x14ac:dyDescent="0.3">
      <c r="A1" s="56" t="s">
        <v>191</v>
      </c>
      <c r="B1" s="56"/>
      <c r="C1" s="56"/>
      <c r="D1" s="56"/>
      <c r="E1" s="56"/>
      <c r="F1" s="56"/>
      <c r="G1" s="56"/>
      <c r="H1" s="84"/>
      <c r="I1" s="84"/>
    </row>
    <row r="2" spans="1:10" ht="21" customHeight="1" x14ac:dyDescent="0.3">
      <c r="A2" s="53" t="s">
        <v>1</v>
      </c>
      <c r="B2" s="53"/>
      <c r="C2" s="53"/>
      <c r="D2" s="53"/>
      <c r="E2" s="53"/>
      <c r="F2" s="53"/>
      <c r="G2" s="53"/>
      <c r="H2" s="85"/>
      <c r="I2" s="85"/>
    </row>
    <row r="3" spans="1:10" ht="24" customHeight="1" x14ac:dyDescent="0.3">
      <c r="A3" s="53" t="s">
        <v>47</v>
      </c>
      <c r="B3" s="53"/>
      <c r="C3" s="53"/>
      <c r="D3" s="53"/>
      <c r="E3" s="53"/>
      <c r="F3" s="53"/>
      <c r="G3" s="53"/>
      <c r="H3" s="85"/>
      <c r="I3" s="85"/>
    </row>
    <row r="4" spans="1:10" ht="39.75" customHeight="1" x14ac:dyDescent="0.3">
      <c r="A4" s="31" t="s">
        <v>3</v>
      </c>
      <c r="B4" s="31" t="s">
        <v>4</v>
      </c>
      <c r="C4" s="32" t="s">
        <v>142</v>
      </c>
      <c r="D4" s="31" t="s">
        <v>5</v>
      </c>
      <c r="E4" s="32" t="s">
        <v>6</v>
      </c>
      <c r="F4" s="33" t="s">
        <v>189</v>
      </c>
      <c r="G4" s="33" t="s">
        <v>187</v>
      </c>
    </row>
    <row r="5" spans="1:10" ht="14.4" x14ac:dyDescent="0.3">
      <c r="A5" s="34">
        <v>1</v>
      </c>
      <c r="B5" s="35" t="s">
        <v>48</v>
      </c>
      <c r="C5" s="34" t="s">
        <v>12</v>
      </c>
      <c r="D5" s="34">
        <v>30</v>
      </c>
      <c r="E5" s="34">
        <v>1</v>
      </c>
      <c r="F5" s="34">
        <v>45.92</v>
      </c>
      <c r="G5" s="34">
        <f>SUM(E5*F5)</f>
        <v>45.92</v>
      </c>
    </row>
    <row r="6" spans="1:10" ht="14.4" x14ac:dyDescent="0.3">
      <c r="A6" s="37">
        <v>2</v>
      </c>
      <c r="B6" s="35" t="s">
        <v>49</v>
      </c>
      <c r="C6" s="46" t="s">
        <v>56</v>
      </c>
      <c r="D6" s="34">
        <v>30</v>
      </c>
      <c r="E6" s="34">
        <v>5</v>
      </c>
      <c r="F6" s="34">
        <v>45.92</v>
      </c>
      <c r="G6" s="34">
        <f t="shared" ref="G6:G36" si="0">SUM(E6*F6)</f>
        <v>229.60000000000002</v>
      </c>
      <c r="I6" s="54"/>
      <c r="J6" s="54"/>
    </row>
    <row r="7" spans="1:10" ht="14.4" x14ac:dyDescent="0.3">
      <c r="A7" s="37">
        <v>3</v>
      </c>
      <c r="B7" s="35" t="s">
        <v>51</v>
      </c>
      <c r="C7" s="34" t="s">
        <v>12</v>
      </c>
      <c r="D7" s="34">
        <v>30</v>
      </c>
      <c r="E7" s="34">
        <v>1</v>
      </c>
      <c r="F7" s="34">
        <v>45.92</v>
      </c>
      <c r="G7" s="34">
        <f t="shared" si="0"/>
        <v>45.92</v>
      </c>
      <c r="I7" s="54"/>
      <c r="J7" s="54"/>
    </row>
    <row r="8" spans="1:10" ht="14.4" x14ac:dyDescent="0.3">
      <c r="A8" s="37">
        <v>4</v>
      </c>
      <c r="B8" s="35" t="s">
        <v>52</v>
      </c>
      <c r="C8" s="34" t="s">
        <v>12</v>
      </c>
      <c r="D8" s="34">
        <v>30</v>
      </c>
      <c r="E8" s="34">
        <v>1</v>
      </c>
      <c r="F8" s="34">
        <v>45.92</v>
      </c>
      <c r="G8" s="34">
        <f t="shared" si="0"/>
        <v>45.92</v>
      </c>
    </row>
    <row r="9" spans="1:10" ht="14.4" x14ac:dyDescent="0.3">
      <c r="A9" s="37">
        <v>5</v>
      </c>
      <c r="B9" s="35" t="s">
        <v>53</v>
      </c>
      <c r="C9" s="46" t="s">
        <v>56</v>
      </c>
      <c r="D9" s="34">
        <v>30</v>
      </c>
      <c r="E9" s="34">
        <v>5</v>
      </c>
      <c r="F9" s="34">
        <v>45.92</v>
      </c>
      <c r="G9" s="34">
        <f t="shared" si="0"/>
        <v>229.60000000000002</v>
      </c>
      <c r="I9" s="55"/>
      <c r="J9" s="55"/>
    </row>
    <row r="10" spans="1:10" ht="14.4" x14ac:dyDescent="0.3">
      <c r="A10" s="37">
        <v>6</v>
      </c>
      <c r="B10" s="35" t="s">
        <v>54</v>
      </c>
      <c r="C10" s="34" t="s">
        <v>12</v>
      </c>
      <c r="D10" s="34">
        <v>30</v>
      </c>
      <c r="E10" s="34">
        <v>1</v>
      </c>
      <c r="F10" s="34">
        <v>45.92</v>
      </c>
      <c r="G10" s="34">
        <f t="shared" si="0"/>
        <v>45.92</v>
      </c>
      <c r="I10" s="55"/>
      <c r="J10" s="55"/>
    </row>
    <row r="11" spans="1:10" ht="14.4" x14ac:dyDescent="0.3">
      <c r="A11" s="37">
        <v>7</v>
      </c>
      <c r="B11" s="35" t="s">
        <v>55</v>
      </c>
      <c r="C11" s="34" t="s">
        <v>10</v>
      </c>
      <c r="D11" s="34">
        <v>30</v>
      </c>
      <c r="E11" s="34">
        <v>2</v>
      </c>
      <c r="F11" s="34">
        <v>45.92</v>
      </c>
      <c r="G11" s="34">
        <f t="shared" si="0"/>
        <v>91.84</v>
      </c>
    </row>
    <row r="12" spans="1:10" ht="14.4" x14ac:dyDescent="0.3">
      <c r="A12" s="37">
        <v>8</v>
      </c>
      <c r="B12" s="35" t="s">
        <v>57</v>
      </c>
      <c r="C12" s="34" t="s">
        <v>12</v>
      </c>
      <c r="D12" s="34">
        <v>30</v>
      </c>
      <c r="E12" s="34">
        <v>1</v>
      </c>
      <c r="F12" s="34">
        <v>45.92</v>
      </c>
      <c r="G12" s="34">
        <f t="shared" si="0"/>
        <v>45.92</v>
      </c>
    </row>
    <row r="13" spans="1:10" ht="14.4" x14ac:dyDescent="0.3">
      <c r="A13" s="37">
        <v>9</v>
      </c>
      <c r="B13" s="35" t="s">
        <v>58</v>
      </c>
      <c r="C13" s="34" t="s">
        <v>12</v>
      </c>
      <c r="D13" s="34">
        <v>30</v>
      </c>
      <c r="E13" s="34">
        <v>1</v>
      </c>
      <c r="F13" s="34">
        <v>45.92</v>
      </c>
      <c r="G13" s="34">
        <f t="shared" si="0"/>
        <v>45.92</v>
      </c>
    </row>
    <row r="14" spans="1:10" ht="14.4" x14ac:dyDescent="0.3">
      <c r="A14" s="37">
        <v>10</v>
      </c>
      <c r="B14" s="35" t="s">
        <v>59</v>
      </c>
      <c r="C14" s="34" t="s">
        <v>10</v>
      </c>
      <c r="D14" s="34">
        <v>30</v>
      </c>
      <c r="E14" s="34">
        <v>2</v>
      </c>
      <c r="F14" s="34">
        <v>45.92</v>
      </c>
      <c r="G14" s="34">
        <f t="shared" si="0"/>
        <v>91.84</v>
      </c>
    </row>
    <row r="15" spans="1:10" ht="14.4" x14ac:dyDescent="0.3">
      <c r="A15" s="37">
        <v>11</v>
      </c>
      <c r="B15" s="35" t="s">
        <v>13</v>
      </c>
      <c r="C15" s="34" t="s">
        <v>12</v>
      </c>
      <c r="D15" s="34">
        <v>30</v>
      </c>
      <c r="E15" s="34">
        <v>1</v>
      </c>
      <c r="F15" s="34">
        <v>45.92</v>
      </c>
      <c r="G15" s="34">
        <f t="shared" si="0"/>
        <v>45.92</v>
      </c>
    </row>
    <row r="16" spans="1:10" ht="14.4" x14ac:dyDescent="0.3">
      <c r="A16" s="37">
        <v>12</v>
      </c>
      <c r="B16" s="35" t="s">
        <v>60</v>
      </c>
      <c r="C16" s="34" t="s">
        <v>10</v>
      </c>
      <c r="D16" s="34">
        <v>30</v>
      </c>
      <c r="E16" s="34">
        <v>2</v>
      </c>
      <c r="F16" s="34">
        <v>45.92</v>
      </c>
      <c r="G16" s="34">
        <f t="shared" si="0"/>
        <v>91.84</v>
      </c>
    </row>
    <row r="17" spans="1:7" ht="14.4" x14ac:dyDescent="0.3">
      <c r="A17" s="37">
        <v>13</v>
      </c>
      <c r="B17" s="35" t="s">
        <v>35</v>
      </c>
      <c r="C17" s="34" t="s">
        <v>10</v>
      </c>
      <c r="D17" s="34">
        <v>30</v>
      </c>
      <c r="E17" s="34">
        <v>2</v>
      </c>
      <c r="F17" s="34">
        <v>45.92</v>
      </c>
      <c r="G17" s="34">
        <f t="shared" si="0"/>
        <v>91.84</v>
      </c>
    </row>
    <row r="18" spans="1:7" ht="14.4" x14ac:dyDescent="0.3">
      <c r="A18" s="37">
        <v>14</v>
      </c>
      <c r="B18" s="38" t="s">
        <v>156</v>
      </c>
      <c r="C18" s="34">
        <v>0</v>
      </c>
      <c r="D18" s="34">
        <v>30</v>
      </c>
      <c r="E18" s="34">
        <v>2</v>
      </c>
      <c r="F18" s="34">
        <v>45.92</v>
      </c>
      <c r="G18" s="34">
        <f t="shared" si="0"/>
        <v>91.84</v>
      </c>
    </row>
    <row r="19" spans="1:7" ht="14.4" x14ac:dyDescent="0.3">
      <c r="A19" s="37">
        <v>15</v>
      </c>
      <c r="B19" s="38" t="s">
        <v>39</v>
      </c>
      <c r="C19" s="34" t="s">
        <v>12</v>
      </c>
      <c r="D19" s="34">
        <v>30</v>
      </c>
      <c r="E19" s="34">
        <v>1</v>
      </c>
      <c r="F19" s="34">
        <v>45.92</v>
      </c>
      <c r="G19" s="34">
        <f t="shared" si="0"/>
        <v>45.92</v>
      </c>
    </row>
    <row r="20" spans="1:7" ht="14.4" x14ac:dyDescent="0.3">
      <c r="A20" s="37">
        <v>16</v>
      </c>
      <c r="B20" s="38" t="s">
        <v>157</v>
      </c>
      <c r="C20" s="34" t="s">
        <v>12</v>
      </c>
      <c r="D20" s="34">
        <v>30</v>
      </c>
      <c r="E20" s="34">
        <v>1</v>
      </c>
      <c r="F20" s="34">
        <v>45.92</v>
      </c>
      <c r="G20" s="34">
        <f t="shared" si="0"/>
        <v>45.92</v>
      </c>
    </row>
    <row r="21" spans="1:7" ht="14.4" x14ac:dyDescent="0.3">
      <c r="A21" s="37">
        <v>17</v>
      </c>
      <c r="B21" s="35" t="s">
        <v>15</v>
      </c>
      <c r="C21" s="34" t="s">
        <v>12</v>
      </c>
      <c r="D21" s="34">
        <v>30</v>
      </c>
      <c r="E21" s="34">
        <v>1</v>
      </c>
      <c r="F21" s="34">
        <v>45.92</v>
      </c>
      <c r="G21" s="34">
        <f t="shared" si="0"/>
        <v>45.92</v>
      </c>
    </row>
    <row r="22" spans="1:7" ht="14.4" x14ac:dyDescent="0.3">
      <c r="A22" s="37">
        <v>18</v>
      </c>
      <c r="B22" s="38" t="s">
        <v>155</v>
      </c>
      <c r="C22" s="34" t="s">
        <v>12</v>
      </c>
      <c r="D22" s="34">
        <v>30</v>
      </c>
      <c r="E22" s="34">
        <v>1</v>
      </c>
      <c r="F22" s="34">
        <v>45.92</v>
      </c>
      <c r="G22" s="34">
        <f t="shared" si="0"/>
        <v>45.92</v>
      </c>
    </row>
    <row r="23" spans="1:7" ht="14.4" x14ac:dyDescent="0.3">
      <c r="A23" s="37">
        <v>19</v>
      </c>
      <c r="B23" s="35" t="s">
        <v>61</v>
      </c>
      <c r="C23" s="46" t="s">
        <v>10</v>
      </c>
      <c r="D23" s="34">
        <v>30</v>
      </c>
      <c r="E23" s="34">
        <v>2</v>
      </c>
      <c r="F23" s="34">
        <v>45.92</v>
      </c>
      <c r="G23" s="34">
        <f t="shared" si="0"/>
        <v>91.84</v>
      </c>
    </row>
    <row r="24" spans="1:7" ht="14.4" x14ac:dyDescent="0.3">
      <c r="A24" s="37">
        <v>20</v>
      </c>
      <c r="B24" s="35" t="s">
        <v>62</v>
      </c>
      <c r="C24" s="34" t="s">
        <v>12</v>
      </c>
      <c r="D24" s="34">
        <v>30</v>
      </c>
      <c r="E24" s="34">
        <v>1</v>
      </c>
      <c r="F24" s="34">
        <v>45.92</v>
      </c>
      <c r="G24" s="34">
        <f t="shared" si="0"/>
        <v>45.92</v>
      </c>
    </row>
    <row r="25" spans="1:7" ht="15.75" customHeight="1" x14ac:dyDescent="0.3">
      <c r="A25" s="37">
        <v>21</v>
      </c>
      <c r="B25" s="35" t="s">
        <v>16</v>
      </c>
      <c r="C25" s="34" t="s">
        <v>12</v>
      </c>
      <c r="D25" s="34">
        <v>30</v>
      </c>
      <c r="E25" s="34">
        <v>1</v>
      </c>
      <c r="F25" s="34">
        <v>45.92</v>
      </c>
      <c r="G25" s="34">
        <f t="shared" si="0"/>
        <v>45.92</v>
      </c>
    </row>
    <row r="26" spans="1:7" ht="15.75" customHeight="1" x14ac:dyDescent="0.3">
      <c r="A26" s="37">
        <v>22</v>
      </c>
      <c r="B26" s="35" t="s">
        <v>17</v>
      </c>
      <c r="C26" s="46" t="s">
        <v>10</v>
      </c>
      <c r="D26" s="34">
        <v>30</v>
      </c>
      <c r="E26" s="34">
        <v>2</v>
      </c>
      <c r="F26" s="34">
        <v>45.92</v>
      </c>
      <c r="G26" s="34">
        <f t="shared" si="0"/>
        <v>91.84</v>
      </c>
    </row>
    <row r="27" spans="1:7" ht="15.75" customHeight="1" x14ac:dyDescent="0.3">
      <c r="A27" s="37">
        <v>23</v>
      </c>
      <c r="B27" s="38" t="s">
        <v>158</v>
      </c>
      <c r="C27" s="34" t="s">
        <v>12</v>
      </c>
      <c r="D27" s="34">
        <v>30</v>
      </c>
      <c r="E27" s="34">
        <v>1</v>
      </c>
      <c r="F27" s="34">
        <v>45.92</v>
      </c>
      <c r="G27" s="34">
        <f t="shared" si="0"/>
        <v>45.92</v>
      </c>
    </row>
    <row r="28" spans="1:7" ht="15.75" customHeight="1" x14ac:dyDescent="0.3">
      <c r="A28" s="37">
        <v>24</v>
      </c>
      <c r="B28" s="38" t="s">
        <v>159</v>
      </c>
      <c r="C28" s="34" t="s">
        <v>12</v>
      </c>
      <c r="D28" s="34">
        <v>30</v>
      </c>
      <c r="E28" s="34">
        <v>1</v>
      </c>
      <c r="F28" s="34">
        <v>45.92</v>
      </c>
      <c r="G28" s="34">
        <f t="shared" si="0"/>
        <v>45.92</v>
      </c>
    </row>
    <row r="29" spans="1:7" ht="15.75" customHeight="1" x14ac:dyDescent="0.3">
      <c r="A29" s="37">
        <v>25</v>
      </c>
      <c r="B29" s="35" t="s">
        <v>20</v>
      </c>
      <c r="C29" s="34" t="s">
        <v>12</v>
      </c>
      <c r="D29" s="34">
        <v>30</v>
      </c>
      <c r="E29" s="34">
        <v>1</v>
      </c>
      <c r="F29" s="34">
        <v>45.92</v>
      </c>
      <c r="G29" s="34">
        <f t="shared" si="0"/>
        <v>45.92</v>
      </c>
    </row>
    <row r="30" spans="1:7" ht="15.75" customHeight="1" x14ac:dyDescent="0.3">
      <c r="A30" s="37">
        <v>26</v>
      </c>
      <c r="B30" s="35" t="s">
        <v>63</v>
      </c>
      <c r="C30" s="34"/>
      <c r="D30" s="34">
        <v>30</v>
      </c>
      <c r="E30" s="34">
        <v>0</v>
      </c>
      <c r="F30" s="34">
        <v>45.92</v>
      </c>
      <c r="G30" s="34">
        <f t="shared" si="0"/>
        <v>0</v>
      </c>
    </row>
    <row r="31" spans="1:7" ht="15.75" customHeight="1" x14ac:dyDescent="0.3">
      <c r="A31" s="37">
        <v>27</v>
      </c>
      <c r="B31" s="35" t="s">
        <v>21</v>
      </c>
      <c r="C31" s="34" t="s">
        <v>12</v>
      </c>
      <c r="D31" s="34">
        <v>30</v>
      </c>
      <c r="E31" s="34">
        <v>1</v>
      </c>
      <c r="F31" s="34">
        <v>45.92</v>
      </c>
      <c r="G31" s="34">
        <f t="shared" si="0"/>
        <v>45.92</v>
      </c>
    </row>
    <row r="32" spans="1:7" ht="15.75" customHeight="1" x14ac:dyDescent="0.3">
      <c r="A32" s="37">
        <v>28</v>
      </c>
      <c r="B32" s="35" t="s">
        <v>22</v>
      </c>
      <c r="C32" s="46" t="s">
        <v>10</v>
      </c>
      <c r="D32" s="34">
        <v>30</v>
      </c>
      <c r="E32" s="34">
        <v>2</v>
      </c>
      <c r="F32" s="34">
        <v>45.92</v>
      </c>
      <c r="G32" s="34">
        <f t="shared" si="0"/>
        <v>91.84</v>
      </c>
    </row>
    <row r="33" spans="1:9" ht="15.75" customHeight="1" x14ac:dyDescent="0.3">
      <c r="A33" s="37">
        <v>29</v>
      </c>
      <c r="B33" s="35" t="s">
        <v>23</v>
      </c>
      <c r="C33" s="46" t="s">
        <v>40</v>
      </c>
      <c r="D33" s="34">
        <v>30</v>
      </c>
      <c r="E33" s="34">
        <v>3</v>
      </c>
      <c r="F33" s="34">
        <v>45.92</v>
      </c>
      <c r="G33" s="34">
        <f t="shared" si="0"/>
        <v>137.76</v>
      </c>
    </row>
    <row r="34" spans="1:9" ht="15.75" customHeight="1" x14ac:dyDescent="0.3">
      <c r="A34" s="37">
        <v>30</v>
      </c>
      <c r="B34" s="35" t="s">
        <v>24</v>
      </c>
      <c r="C34" s="46" t="s">
        <v>10</v>
      </c>
      <c r="D34" s="34">
        <v>30</v>
      </c>
      <c r="E34" s="34">
        <v>2</v>
      </c>
      <c r="F34" s="34">
        <v>45.92</v>
      </c>
      <c r="G34" s="34">
        <f t="shared" si="0"/>
        <v>91.84</v>
      </c>
    </row>
    <row r="35" spans="1:9" ht="15.75" customHeight="1" x14ac:dyDescent="0.3">
      <c r="A35" s="37">
        <v>31</v>
      </c>
      <c r="B35" s="35" t="s">
        <v>25</v>
      </c>
      <c r="C35" s="46" t="s">
        <v>50</v>
      </c>
      <c r="D35" s="34">
        <v>30</v>
      </c>
      <c r="E35" s="34">
        <v>6</v>
      </c>
      <c r="F35" s="34">
        <v>45.92</v>
      </c>
      <c r="G35" s="34">
        <f t="shared" si="0"/>
        <v>275.52</v>
      </c>
    </row>
    <row r="36" spans="1:9" ht="15.75" customHeight="1" x14ac:dyDescent="0.3">
      <c r="A36" s="37">
        <v>32</v>
      </c>
      <c r="B36" s="35" t="s">
        <v>64</v>
      </c>
      <c r="C36" s="46" t="s">
        <v>10</v>
      </c>
      <c r="D36" s="34">
        <v>30</v>
      </c>
      <c r="E36" s="34">
        <v>2</v>
      </c>
      <c r="F36" s="34">
        <v>45.92</v>
      </c>
      <c r="G36" s="34">
        <f t="shared" si="0"/>
        <v>91.84</v>
      </c>
    </row>
    <row r="37" spans="1:9" ht="15.75" customHeight="1" x14ac:dyDescent="0.3">
      <c r="A37" s="37">
        <v>33</v>
      </c>
      <c r="B37" s="35" t="s">
        <v>27</v>
      </c>
      <c r="C37" s="34" t="s">
        <v>40</v>
      </c>
      <c r="D37" s="34">
        <v>30</v>
      </c>
      <c r="E37" s="34">
        <v>3</v>
      </c>
      <c r="F37" s="34">
        <v>45.92</v>
      </c>
      <c r="G37" s="34">
        <f>SUM(E37*F37)</f>
        <v>137.76</v>
      </c>
    </row>
    <row r="38" spans="1:9" ht="15.75" customHeight="1" x14ac:dyDescent="0.3">
      <c r="A38" s="83"/>
      <c r="B38" s="86"/>
      <c r="C38" s="86"/>
      <c r="D38" s="86"/>
      <c r="E38" s="86">
        <f>SUM(E5:E37)</f>
        <v>59</v>
      </c>
      <c r="F38" s="86"/>
      <c r="G38" s="44">
        <f>SUM(G5:G37)</f>
        <v>2709.2800000000007</v>
      </c>
      <c r="H38" s="40"/>
      <c r="I38" s="8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</sheetData>
  <mergeCells count="5">
    <mergeCell ref="I6:J7"/>
    <mergeCell ref="I9:J10"/>
    <mergeCell ref="A3:G3"/>
    <mergeCell ref="A2:G2"/>
    <mergeCell ref="A1:G1"/>
  </mergeCells>
  <printOptions horizontalCentered="1" verticalCentered="1"/>
  <pageMargins left="0.70866141732283472" right="0.70866141732283472" top="0.74803149606299213" bottom="0.7480314960629921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"/>
  <sheetViews>
    <sheetView workbookViewId="0">
      <selection activeCell="A2" sqref="A2:G2"/>
    </sheetView>
  </sheetViews>
  <sheetFormatPr defaultColWidth="14.44140625" defaultRowHeight="15" customHeight="1" x14ac:dyDescent="0.3"/>
  <cols>
    <col min="1" max="1" width="4.109375" customWidth="1"/>
    <col min="2" max="2" width="23" customWidth="1"/>
    <col min="3" max="3" width="10" customWidth="1"/>
    <col min="4" max="4" width="18.33203125" customWidth="1"/>
    <col min="5" max="5" width="14.44140625" customWidth="1"/>
    <col min="6" max="6" width="6" bestFit="1" customWidth="1"/>
    <col min="7" max="7" width="7" bestFit="1" customWidth="1"/>
    <col min="8" max="8" width="13.44140625" customWidth="1"/>
  </cols>
  <sheetData>
    <row r="1" spans="1:8" ht="63.6" customHeight="1" x14ac:dyDescent="0.3">
      <c r="A1" s="96" t="s">
        <v>191</v>
      </c>
      <c r="B1" s="96"/>
      <c r="C1" s="96"/>
      <c r="D1" s="96"/>
      <c r="E1" s="96"/>
      <c r="F1" s="96"/>
      <c r="G1" s="96"/>
      <c r="H1" s="41"/>
    </row>
    <row r="2" spans="1:8" ht="27.6" customHeight="1" x14ac:dyDescent="0.3">
      <c r="A2" s="53" t="s">
        <v>65</v>
      </c>
      <c r="B2" s="53"/>
      <c r="C2" s="53"/>
      <c r="D2" s="53"/>
      <c r="E2" s="53"/>
      <c r="F2" s="53"/>
      <c r="G2" s="53"/>
      <c r="H2" s="41"/>
    </row>
    <row r="3" spans="1:8" ht="15.6" x14ac:dyDescent="0.3">
      <c r="A3" s="59" t="s">
        <v>66</v>
      </c>
      <c r="B3" s="59"/>
      <c r="C3" s="59"/>
      <c r="D3" s="59"/>
      <c r="E3" s="59"/>
      <c r="F3" s="59"/>
      <c r="G3" s="59"/>
      <c r="H3" s="41"/>
    </row>
    <row r="4" spans="1:8" ht="48" customHeight="1" x14ac:dyDescent="0.3">
      <c r="A4" s="31" t="s">
        <v>3</v>
      </c>
      <c r="B4" s="31" t="s">
        <v>4</v>
      </c>
      <c r="C4" s="31" t="s">
        <v>5</v>
      </c>
      <c r="D4" s="45" t="s">
        <v>142</v>
      </c>
      <c r="E4" s="32" t="s">
        <v>6</v>
      </c>
      <c r="F4" s="32" t="s">
        <v>189</v>
      </c>
      <c r="G4" s="32" t="s">
        <v>67</v>
      </c>
    </row>
    <row r="5" spans="1:8" ht="14.4" x14ac:dyDescent="0.3">
      <c r="A5" s="34">
        <v>1</v>
      </c>
      <c r="B5" s="42" t="s">
        <v>68</v>
      </c>
      <c r="C5" s="34">
        <v>200</v>
      </c>
      <c r="D5" s="36" t="s">
        <v>190</v>
      </c>
      <c r="E5" s="34">
        <v>2</v>
      </c>
      <c r="F5" s="34">
        <v>48.38</v>
      </c>
      <c r="G5" s="37">
        <f>SUM(E5*F5)</f>
        <v>96.76</v>
      </c>
    </row>
    <row r="6" spans="1:8" ht="14.4" x14ac:dyDescent="0.3">
      <c r="A6" s="34">
        <v>2</v>
      </c>
      <c r="B6" s="42" t="s">
        <v>69</v>
      </c>
      <c r="C6" s="34">
        <v>200</v>
      </c>
      <c r="D6" s="36" t="s">
        <v>190</v>
      </c>
      <c r="E6" s="34">
        <v>2</v>
      </c>
      <c r="F6" s="34">
        <v>48.38</v>
      </c>
      <c r="G6" s="37">
        <f t="shared" ref="G6:G27" si="0">SUM(E6*F6)</f>
        <v>96.76</v>
      </c>
    </row>
    <row r="7" spans="1:8" ht="14.4" x14ac:dyDescent="0.3">
      <c r="A7" s="34">
        <v>3</v>
      </c>
      <c r="B7" s="42" t="s">
        <v>70</v>
      </c>
      <c r="C7" s="34">
        <v>200</v>
      </c>
      <c r="D7" s="34" t="s">
        <v>12</v>
      </c>
      <c r="E7" s="34">
        <v>1</v>
      </c>
      <c r="F7" s="34">
        <v>48.38</v>
      </c>
      <c r="G7" s="37">
        <f t="shared" si="0"/>
        <v>48.38</v>
      </c>
    </row>
    <row r="8" spans="1:8" ht="14.4" x14ac:dyDescent="0.3">
      <c r="A8" s="34">
        <v>4</v>
      </c>
      <c r="B8" s="42" t="s">
        <v>71</v>
      </c>
      <c r="C8" s="34">
        <v>200</v>
      </c>
      <c r="D8" s="36" t="s">
        <v>190</v>
      </c>
      <c r="E8" s="34">
        <v>2</v>
      </c>
      <c r="F8" s="34">
        <v>48.38</v>
      </c>
      <c r="G8" s="37">
        <f t="shared" si="0"/>
        <v>96.76</v>
      </c>
    </row>
    <row r="9" spans="1:8" ht="14.4" x14ac:dyDescent="0.3">
      <c r="A9" s="34">
        <v>5</v>
      </c>
      <c r="B9" s="42" t="s">
        <v>51</v>
      </c>
      <c r="C9" s="34">
        <v>200</v>
      </c>
      <c r="D9" s="36" t="s">
        <v>190</v>
      </c>
      <c r="E9" s="34">
        <v>2</v>
      </c>
      <c r="F9" s="34">
        <v>48.38</v>
      </c>
      <c r="G9" s="37">
        <f t="shared" si="0"/>
        <v>96.76</v>
      </c>
    </row>
    <row r="10" spans="1:8" ht="14.4" x14ac:dyDescent="0.3">
      <c r="A10" s="34">
        <v>6</v>
      </c>
      <c r="B10" s="42" t="s">
        <v>53</v>
      </c>
      <c r="C10" s="34">
        <v>200</v>
      </c>
      <c r="D10" s="36" t="s">
        <v>190</v>
      </c>
      <c r="E10" s="34">
        <v>2</v>
      </c>
      <c r="F10" s="34">
        <v>48.38</v>
      </c>
      <c r="G10" s="37">
        <f t="shared" si="0"/>
        <v>96.76</v>
      </c>
    </row>
    <row r="11" spans="1:8" ht="14.4" x14ac:dyDescent="0.3">
      <c r="A11" s="34">
        <v>7</v>
      </c>
      <c r="B11" s="42" t="s">
        <v>72</v>
      </c>
      <c r="C11" s="34">
        <v>200</v>
      </c>
      <c r="D11" s="36" t="s">
        <v>190</v>
      </c>
      <c r="E11" s="34">
        <v>2</v>
      </c>
      <c r="F11" s="34">
        <v>48.38</v>
      </c>
      <c r="G11" s="37">
        <f t="shared" si="0"/>
        <v>96.76</v>
      </c>
    </row>
    <row r="12" spans="1:8" ht="14.4" x14ac:dyDescent="0.3">
      <c r="A12" s="34">
        <v>8</v>
      </c>
      <c r="B12" s="42" t="s">
        <v>57</v>
      </c>
      <c r="C12" s="34">
        <v>200</v>
      </c>
      <c r="D12" s="36" t="s">
        <v>190</v>
      </c>
      <c r="E12" s="34">
        <v>2</v>
      </c>
      <c r="F12" s="34">
        <v>48.38</v>
      </c>
      <c r="G12" s="37">
        <f t="shared" si="0"/>
        <v>96.76</v>
      </c>
    </row>
    <row r="13" spans="1:8" ht="14.4" x14ac:dyDescent="0.3">
      <c r="A13" s="34">
        <v>9</v>
      </c>
      <c r="B13" s="42" t="s">
        <v>73</v>
      </c>
      <c r="C13" s="34">
        <v>200</v>
      </c>
      <c r="D13" s="36" t="s">
        <v>190</v>
      </c>
      <c r="E13" s="34">
        <v>2</v>
      </c>
      <c r="F13" s="34">
        <v>48.38</v>
      </c>
      <c r="G13" s="37">
        <f t="shared" si="0"/>
        <v>96.76</v>
      </c>
    </row>
    <row r="14" spans="1:8" ht="14.4" x14ac:dyDescent="0.3">
      <c r="A14" s="34">
        <v>10</v>
      </c>
      <c r="B14" s="42" t="s">
        <v>13</v>
      </c>
      <c r="C14" s="34">
        <v>200</v>
      </c>
      <c r="D14" s="36" t="s">
        <v>190</v>
      </c>
      <c r="E14" s="34">
        <v>2</v>
      </c>
      <c r="F14" s="34">
        <v>48.38</v>
      </c>
      <c r="G14" s="37">
        <f t="shared" si="0"/>
        <v>96.76</v>
      </c>
    </row>
    <row r="15" spans="1:8" ht="14.4" x14ac:dyDescent="0.3">
      <c r="A15" s="34">
        <v>11</v>
      </c>
      <c r="B15" s="43" t="s">
        <v>154</v>
      </c>
      <c r="C15" s="34">
        <v>200</v>
      </c>
      <c r="D15" s="36" t="s">
        <v>190</v>
      </c>
      <c r="E15" s="34">
        <v>2</v>
      </c>
      <c r="F15" s="34">
        <v>48.38</v>
      </c>
      <c r="G15" s="37">
        <f t="shared" si="0"/>
        <v>96.76</v>
      </c>
    </row>
    <row r="16" spans="1:8" ht="14.4" x14ac:dyDescent="0.3">
      <c r="A16" s="34">
        <v>12</v>
      </c>
      <c r="B16" s="42" t="s">
        <v>35</v>
      </c>
      <c r="C16" s="34">
        <v>200</v>
      </c>
      <c r="D16" s="36" t="s">
        <v>190</v>
      </c>
      <c r="E16" s="34">
        <v>2</v>
      </c>
      <c r="F16" s="34">
        <v>48.38</v>
      </c>
      <c r="G16" s="37">
        <f t="shared" si="0"/>
        <v>96.76</v>
      </c>
    </row>
    <row r="17" spans="1:8" ht="14.4" x14ac:dyDescent="0.3">
      <c r="A17" s="34">
        <v>13</v>
      </c>
      <c r="B17" s="42" t="s">
        <v>62</v>
      </c>
      <c r="C17" s="34">
        <v>200</v>
      </c>
      <c r="D17" s="36" t="s">
        <v>190</v>
      </c>
      <c r="E17" s="34">
        <v>2</v>
      </c>
      <c r="F17" s="34">
        <v>48.38</v>
      </c>
      <c r="G17" s="37">
        <f t="shared" si="0"/>
        <v>96.76</v>
      </c>
    </row>
    <row r="18" spans="1:8" ht="14.4" x14ac:dyDescent="0.3">
      <c r="A18" s="34">
        <v>14</v>
      </c>
      <c r="B18" s="42" t="s">
        <v>74</v>
      </c>
      <c r="C18" s="34">
        <v>200</v>
      </c>
      <c r="D18" s="36" t="s">
        <v>190</v>
      </c>
      <c r="E18" s="34">
        <v>2</v>
      </c>
      <c r="F18" s="34">
        <v>48.38</v>
      </c>
      <c r="G18" s="37">
        <f t="shared" si="0"/>
        <v>96.76</v>
      </c>
    </row>
    <row r="19" spans="1:8" ht="14.4" x14ac:dyDescent="0.3">
      <c r="A19" s="34">
        <v>15</v>
      </c>
      <c r="B19" s="42" t="s">
        <v>20</v>
      </c>
      <c r="C19" s="34">
        <v>200</v>
      </c>
      <c r="D19" s="34" t="s">
        <v>12</v>
      </c>
      <c r="E19" s="34">
        <v>1</v>
      </c>
      <c r="F19" s="34">
        <v>48.38</v>
      </c>
      <c r="G19" s="37">
        <f t="shared" si="0"/>
        <v>48.38</v>
      </c>
    </row>
    <row r="20" spans="1:8" ht="14.4" x14ac:dyDescent="0.3">
      <c r="A20" s="34">
        <v>16</v>
      </c>
      <c r="B20" s="42" t="s">
        <v>75</v>
      </c>
      <c r="C20" s="34">
        <v>200</v>
      </c>
      <c r="D20" s="34" t="s">
        <v>12</v>
      </c>
      <c r="E20" s="34">
        <v>1</v>
      </c>
      <c r="F20" s="34">
        <v>48.38</v>
      </c>
      <c r="G20" s="37">
        <f t="shared" si="0"/>
        <v>48.38</v>
      </c>
    </row>
    <row r="21" spans="1:8" ht="14.4" x14ac:dyDescent="0.3">
      <c r="A21" s="34">
        <v>17</v>
      </c>
      <c r="B21" s="43" t="s">
        <v>23</v>
      </c>
      <c r="C21" s="34">
        <v>200</v>
      </c>
      <c r="D21" s="34" t="s">
        <v>12</v>
      </c>
      <c r="E21" s="34">
        <v>1</v>
      </c>
      <c r="F21" s="34">
        <v>48.38</v>
      </c>
      <c r="G21" s="37">
        <f t="shared" si="0"/>
        <v>48.38</v>
      </c>
    </row>
    <row r="22" spans="1:8" ht="14.4" x14ac:dyDescent="0.3">
      <c r="A22" s="34">
        <v>18</v>
      </c>
      <c r="B22" s="42" t="s">
        <v>24</v>
      </c>
      <c r="C22" s="34">
        <v>200</v>
      </c>
      <c r="D22" s="34" t="s">
        <v>12</v>
      </c>
      <c r="E22" s="34">
        <v>1</v>
      </c>
      <c r="F22" s="34">
        <v>48.38</v>
      </c>
      <c r="G22" s="37">
        <f t="shared" si="0"/>
        <v>48.38</v>
      </c>
    </row>
    <row r="23" spans="1:8" ht="15.75" customHeight="1" x14ac:dyDescent="0.3">
      <c r="A23" s="34">
        <v>19</v>
      </c>
      <c r="B23" s="42" t="s">
        <v>25</v>
      </c>
      <c r="C23" s="34">
        <v>200</v>
      </c>
      <c r="D23" s="34" t="s">
        <v>12</v>
      </c>
      <c r="E23" s="34">
        <v>1</v>
      </c>
      <c r="F23" s="34">
        <v>48.38</v>
      </c>
      <c r="G23" s="37">
        <f t="shared" si="0"/>
        <v>48.38</v>
      </c>
    </row>
    <row r="24" spans="1:8" ht="15.75" customHeight="1" x14ac:dyDescent="0.3">
      <c r="A24" s="34">
        <v>20</v>
      </c>
      <c r="B24" s="43" t="s">
        <v>26</v>
      </c>
      <c r="C24" s="34">
        <v>200</v>
      </c>
      <c r="D24" s="34" t="s">
        <v>12</v>
      </c>
      <c r="E24" s="34">
        <v>1</v>
      </c>
      <c r="F24" s="34">
        <v>48.38</v>
      </c>
      <c r="G24" s="37">
        <f t="shared" si="0"/>
        <v>48.38</v>
      </c>
    </row>
    <row r="25" spans="1:8" ht="15.75" customHeight="1" x14ac:dyDescent="0.3">
      <c r="A25" s="34">
        <v>21</v>
      </c>
      <c r="B25" s="43" t="s">
        <v>27</v>
      </c>
      <c r="C25" s="34">
        <v>200</v>
      </c>
      <c r="D25" s="34" t="s">
        <v>12</v>
      </c>
      <c r="E25" s="34">
        <v>1</v>
      </c>
      <c r="F25" s="34">
        <v>48.38</v>
      </c>
      <c r="G25" s="37">
        <f t="shared" si="0"/>
        <v>48.38</v>
      </c>
    </row>
    <row r="26" spans="1:8" ht="15.75" customHeight="1" x14ac:dyDescent="0.3">
      <c r="A26" s="34">
        <v>22</v>
      </c>
      <c r="B26" s="42" t="s">
        <v>76</v>
      </c>
      <c r="C26" s="34">
        <v>200</v>
      </c>
      <c r="D26" s="34" t="s">
        <v>12</v>
      </c>
      <c r="E26" s="34">
        <v>1</v>
      </c>
      <c r="F26" s="34">
        <v>48.38</v>
      </c>
      <c r="G26" s="37">
        <f t="shared" si="0"/>
        <v>48.38</v>
      </c>
    </row>
    <row r="27" spans="1:8" ht="15.75" customHeight="1" x14ac:dyDescent="0.3">
      <c r="A27" s="34">
        <v>23</v>
      </c>
      <c r="B27" s="42" t="s">
        <v>77</v>
      </c>
      <c r="C27" s="34">
        <v>200</v>
      </c>
      <c r="D27" s="34" t="s">
        <v>12</v>
      </c>
      <c r="E27" s="34">
        <v>1</v>
      </c>
      <c r="F27" s="34">
        <v>48.38</v>
      </c>
      <c r="G27" s="37">
        <f t="shared" si="0"/>
        <v>48.38</v>
      </c>
    </row>
    <row r="28" spans="1:8" ht="20.399999999999999" customHeight="1" x14ac:dyDescent="0.3">
      <c r="A28" s="57" t="s">
        <v>78</v>
      </c>
      <c r="B28" s="57"/>
      <c r="C28" s="57"/>
      <c r="D28" s="57"/>
      <c r="E28" s="39">
        <f>SUM(E5:E27)</f>
        <v>36</v>
      </c>
      <c r="F28" s="60">
        <f>SUM(G5:G27)</f>
        <v>1741.680000000001</v>
      </c>
      <c r="G28" s="61"/>
      <c r="H28" s="40"/>
    </row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</sheetData>
  <mergeCells count="5">
    <mergeCell ref="A28:D28"/>
    <mergeCell ref="A1:G1"/>
    <mergeCell ref="A2:G2"/>
    <mergeCell ref="A3:G3"/>
    <mergeCell ref="F28:G28"/>
  </mergeCells>
  <printOptions horizontalCentered="1" verticalCentered="1"/>
  <pageMargins left="0.70866141732283472" right="0.94488188976377963" top="0.74803149606299213" bottom="0.74803149606299213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DCE1-CBAD-4CCD-8A52-F336FAFF8534}">
  <dimension ref="A1:F18"/>
  <sheetViews>
    <sheetView zoomScale="70" zoomScaleNormal="70" workbookViewId="0">
      <selection activeCell="A7" sqref="A7:F7"/>
    </sheetView>
  </sheetViews>
  <sheetFormatPr defaultRowHeight="14.4" x14ac:dyDescent="0.3"/>
  <cols>
    <col min="1" max="1" width="8.77734375" bestFit="1" customWidth="1"/>
    <col min="2" max="2" width="52.77734375" customWidth="1"/>
    <col min="3" max="3" width="12.5546875" bestFit="1" customWidth="1"/>
    <col min="4" max="4" width="9" bestFit="1" customWidth="1"/>
    <col min="5" max="5" width="16" customWidth="1"/>
    <col min="6" max="6" width="12.77734375" customWidth="1"/>
  </cols>
  <sheetData>
    <row r="1" spans="1:6" x14ac:dyDescent="0.3">
      <c r="A1" s="23"/>
      <c r="B1" s="23"/>
      <c r="C1" s="23"/>
      <c r="D1" s="23"/>
      <c r="E1" s="23"/>
      <c r="F1" s="23"/>
    </row>
    <row r="2" spans="1:6" ht="43.2" x14ac:dyDescent="0.3">
      <c r="A2" s="66" t="s">
        <v>162</v>
      </c>
      <c r="B2" s="66"/>
      <c r="C2" s="66"/>
      <c r="D2" s="66"/>
      <c r="E2" s="66"/>
      <c r="F2" s="66"/>
    </row>
    <row r="3" spans="1:6" ht="32.4" x14ac:dyDescent="0.3">
      <c r="A3" s="62" t="s">
        <v>163</v>
      </c>
      <c r="B3" s="62"/>
      <c r="C3" s="67" t="s">
        <v>164</v>
      </c>
      <c r="D3" s="67"/>
      <c r="E3" s="67"/>
      <c r="F3" s="67"/>
    </row>
    <row r="4" spans="1:6" ht="21" x14ac:dyDescent="0.3">
      <c r="A4" s="62" t="s">
        <v>165</v>
      </c>
      <c r="B4" s="62"/>
      <c r="C4" s="68" t="s">
        <v>166</v>
      </c>
      <c r="D4" s="68"/>
      <c r="E4" s="68"/>
      <c r="F4" s="68"/>
    </row>
    <row r="5" spans="1:6" ht="21" x14ac:dyDescent="0.3">
      <c r="A5" s="69" t="s">
        <v>167</v>
      </c>
      <c r="B5" s="69"/>
      <c r="C5" s="68" t="s">
        <v>188</v>
      </c>
      <c r="D5" s="68"/>
      <c r="E5" s="68"/>
      <c r="F5" s="68"/>
    </row>
    <row r="6" spans="1:6" ht="22.8" x14ac:dyDescent="0.3">
      <c r="A6" s="62" t="s">
        <v>168</v>
      </c>
      <c r="B6" s="62"/>
      <c r="C6" s="63">
        <v>9426915851</v>
      </c>
      <c r="D6" s="63"/>
      <c r="E6" s="63"/>
      <c r="F6" s="63"/>
    </row>
    <row r="7" spans="1:6" ht="22.8" x14ac:dyDescent="0.3">
      <c r="A7" s="64" t="s">
        <v>169</v>
      </c>
      <c r="B7" s="64"/>
      <c r="C7" s="64"/>
      <c r="D7" s="64"/>
      <c r="E7" s="64"/>
      <c r="F7" s="64"/>
    </row>
    <row r="8" spans="1:6" ht="42" x14ac:dyDescent="0.3">
      <c r="A8" s="24" t="s">
        <v>170</v>
      </c>
      <c r="B8" s="25" t="s">
        <v>171</v>
      </c>
      <c r="C8" s="25" t="s">
        <v>172</v>
      </c>
      <c r="D8" s="25" t="s">
        <v>173</v>
      </c>
      <c r="E8" s="26" t="s">
        <v>174</v>
      </c>
      <c r="F8" s="27" t="s">
        <v>175</v>
      </c>
    </row>
    <row r="9" spans="1:6" ht="21.6" x14ac:dyDescent="0.3">
      <c r="A9" s="25">
        <v>1</v>
      </c>
      <c r="B9" s="25" t="s">
        <v>176</v>
      </c>
      <c r="C9" s="25" t="s">
        <v>177</v>
      </c>
      <c r="D9" s="28">
        <v>24.6</v>
      </c>
      <c r="E9" s="25">
        <v>24</v>
      </c>
      <c r="F9" s="29">
        <f>SUM(D9*E9)</f>
        <v>590.40000000000009</v>
      </c>
    </row>
    <row r="10" spans="1:6" ht="21.6" x14ac:dyDescent="0.3">
      <c r="A10" s="25">
        <v>2</v>
      </c>
      <c r="B10" s="25" t="s">
        <v>178</v>
      </c>
      <c r="C10" s="25" t="s">
        <v>177</v>
      </c>
      <c r="D10" s="28">
        <v>24.6</v>
      </c>
      <c r="E10" s="25">
        <v>60</v>
      </c>
      <c r="F10" s="29">
        <f t="shared" ref="F10:F17" si="0">SUM(D10*E10)</f>
        <v>1476</v>
      </c>
    </row>
    <row r="11" spans="1:6" ht="21.6" x14ac:dyDescent="0.3">
      <c r="A11" s="25">
        <v>5</v>
      </c>
      <c r="B11" s="25" t="s">
        <v>179</v>
      </c>
      <c r="C11" s="25" t="s">
        <v>177</v>
      </c>
      <c r="D11" s="28">
        <v>24.6</v>
      </c>
      <c r="E11" s="25">
        <v>60</v>
      </c>
      <c r="F11" s="29">
        <f t="shared" si="0"/>
        <v>1476</v>
      </c>
    </row>
    <row r="12" spans="1:6" ht="21.6" x14ac:dyDescent="0.3">
      <c r="A12" s="25">
        <v>4</v>
      </c>
      <c r="B12" s="25" t="s">
        <v>180</v>
      </c>
      <c r="C12" s="25" t="s">
        <v>177</v>
      </c>
      <c r="D12" s="28">
        <v>24.6</v>
      </c>
      <c r="E12" s="25">
        <v>60</v>
      </c>
      <c r="F12" s="29">
        <f t="shared" si="0"/>
        <v>1476</v>
      </c>
    </row>
    <row r="13" spans="1:6" ht="21.6" x14ac:dyDescent="0.3">
      <c r="A13" s="25">
        <v>5</v>
      </c>
      <c r="B13" s="25" t="s">
        <v>181</v>
      </c>
      <c r="C13" s="25" t="s">
        <v>177</v>
      </c>
      <c r="D13" s="28">
        <v>24.6</v>
      </c>
      <c r="E13" s="25">
        <v>12</v>
      </c>
      <c r="F13" s="29">
        <f t="shared" si="0"/>
        <v>295.20000000000005</v>
      </c>
    </row>
    <row r="14" spans="1:6" ht="21.6" x14ac:dyDescent="0.3">
      <c r="A14" s="25">
        <v>6</v>
      </c>
      <c r="B14" s="25" t="s">
        <v>182</v>
      </c>
      <c r="C14" s="25" t="s">
        <v>177</v>
      </c>
      <c r="D14" s="28">
        <v>24.6</v>
      </c>
      <c r="E14" s="25">
        <v>12</v>
      </c>
      <c r="F14" s="29">
        <f t="shared" si="0"/>
        <v>295.20000000000005</v>
      </c>
    </row>
    <row r="15" spans="1:6" ht="21.6" x14ac:dyDescent="0.3">
      <c r="A15" s="25">
        <v>7</v>
      </c>
      <c r="B15" s="25" t="s">
        <v>183</v>
      </c>
      <c r="C15" s="25" t="s">
        <v>177</v>
      </c>
      <c r="D15" s="28">
        <v>24.6</v>
      </c>
      <c r="E15" s="25">
        <v>36</v>
      </c>
      <c r="F15" s="29">
        <f t="shared" si="0"/>
        <v>885.6</v>
      </c>
    </row>
    <row r="16" spans="1:6" ht="21.6" x14ac:dyDescent="0.3">
      <c r="A16" s="25">
        <v>8</v>
      </c>
      <c r="B16" s="25" t="s">
        <v>184</v>
      </c>
      <c r="C16" s="25" t="s">
        <v>177</v>
      </c>
      <c r="D16" s="28">
        <v>24.6</v>
      </c>
      <c r="E16" s="25">
        <v>36</v>
      </c>
      <c r="F16" s="29">
        <f t="shared" si="0"/>
        <v>885.6</v>
      </c>
    </row>
    <row r="17" spans="1:6" ht="21.6" x14ac:dyDescent="0.3">
      <c r="A17" s="25">
        <v>9</v>
      </c>
      <c r="B17" s="25" t="s">
        <v>185</v>
      </c>
      <c r="C17" s="25" t="s">
        <v>177</v>
      </c>
      <c r="D17" s="28">
        <v>24.6</v>
      </c>
      <c r="E17" s="25">
        <v>60</v>
      </c>
      <c r="F17" s="29">
        <f t="shared" si="0"/>
        <v>1476</v>
      </c>
    </row>
    <row r="18" spans="1:6" ht="21" x14ac:dyDescent="0.3">
      <c r="A18" s="65" t="s">
        <v>186</v>
      </c>
      <c r="B18" s="65"/>
      <c r="C18" s="65"/>
      <c r="D18" s="65"/>
      <c r="E18" s="65"/>
      <c r="F18" s="30">
        <f>SUM(F9:F17)</f>
        <v>8856</v>
      </c>
    </row>
  </sheetData>
  <mergeCells count="11">
    <mergeCell ref="A6:B6"/>
    <mergeCell ref="C6:F6"/>
    <mergeCell ref="A7:F7"/>
    <mergeCell ref="A18:E18"/>
    <mergeCell ref="A2:F2"/>
    <mergeCell ref="A3:B3"/>
    <mergeCell ref="C3:F3"/>
    <mergeCell ref="A4:B4"/>
    <mergeCell ref="C4:F4"/>
    <mergeCell ref="A5:B5"/>
    <mergeCell ref="C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>
      <selection activeCell="H9" sqref="H9"/>
    </sheetView>
  </sheetViews>
  <sheetFormatPr defaultColWidth="14.44140625" defaultRowHeight="15" customHeight="1" x14ac:dyDescent="0.3"/>
  <cols>
    <col min="1" max="1" width="4.44140625" customWidth="1"/>
    <col min="2" max="2" width="16.109375" bestFit="1" customWidth="1"/>
    <col min="3" max="3" width="10.33203125" customWidth="1"/>
    <col min="4" max="4" width="11.6640625" bestFit="1" customWidth="1"/>
    <col min="5" max="5" width="10.6640625" bestFit="1" customWidth="1"/>
    <col min="6" max="6" width="10.21875" bestFit="1" customWidth="1"/>
    <col min="7" max="7" width="12.33203125" customWidth="1"/>
    <col min="8" max="8" width="13.6640625" customWidth="1"/>
  </cols>
  <sheetData>
    <row r="1" spans="1:9" ht="51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20.25" customHeight="1" x14ac:dyDescent="0.3">
      <c r="A2" s="53" t="s">
        <v>79</v>
      </c>
      <c r="B2" s="53"/>
      <c r="C2" s="53"/>
      <c r="D2" s="53"/>
      <c r="E2" s="53"/>
      <c r="F2" s="53"/>
      <c r="G2" s="53"/>
      <c r="H2" s="53"/>
      <c r="I2" s="53"/>
    </row>
    <row r="3" spans="1:9" ht="20.25" customHeight="1" x14ac:dyDescent="0.3">
      <c r="A3" s="53" t="s">
        <v>80</v>
      </c>
      <c r="B3" s="53"/>
      <c r="C3" s="53"/>
      <c r="D3" s="53"/>
      <c r="E3" s="53"/>
      <c r="F3" s="53"/>
      <c r="G3" s="53"/>
      <c r="H3" s="53"/>
      <c r="I3" s="53"/>
    </row>
    <row r="4" spans="1:9" ht="62.4" x14ac:dyDescent="0.3">
      <c r="A4" s="19" t="s">
        <v>3</v>
      </c>
      <c r="B4" s="19" t="s">
        <v>4</v>
      </c>
      <c r="C4" s="19" t="s">
        <v>5</v>
      </c>
      <c r="D4" s="20" t="s">
        <v>141</v>
      </c>
      <c r="E4" s="20" t="s">
        <v>143</v>
      </c>
      <c r="F4" s="20" t="s">
        <v>142</v>
      </c>
      <c r="G4" s="20" t="s">
        <v>6</v>
      </c>
      <c r="H4" s="21" t="s">
        <v>161</v>
      </c>
      <c r="I4" s="22" t="s">
        <v>29</v>
      </c>
    </row>
    <row r="5" spans="1:9" ht="14.4" x14ac:dyDescent="0.3">
      <c r="A5" s="4">
        <v>1</v>
      </c>
      <c r="B5" s="5" t="s">
        <v>82</v>
      </c>
      <c r="C5" s="6" t="s">
        <v>81</v>
      </c>
      <c r="D5" s="11" t="s">
        <v>83</v>
      </c>
      <c r="E5" s="16" t="s">
        <v>144</v>
      </c>
      <c r="F5" s="16" t="s">
        <v>92</v>
      </c>
      <c r="G5" s="6">
        <v>2</v>
      </c>
      <c r="H5" s="7">
        <v>196.8</v>
      </c>
      <c r="I5" s="4">
        <f>SUM(G5*H5)</f>
        <v>393.6</v>
      </c>
    </row>
    <row r="6" spans="1:9" ht="14.4" x14ac:dyDescent="0.3">
      <c r="A6" s="4">
        <v>1</v>
      </c>
      <c r="B6" s="5" t="s">
        <v>84</v>
      </c>
      <c r="C6" s="6" t="s">
        <v>81</v>
      </c>
      <c r="D6" s="11" t="s">
        <v>85</v>
      </c>
      <c r="E6" s="11"/>
      <c r="F6" s="16" t="s">
        <v>92</v>
      </c>
      <c r="G6" s="6">
        <v>1</v>
      </c>
      <c r="H6" s="7">
        <v>196.8</v>
      </c>
      <c r="I6" s="4">
        <f t="shared" ref="I6:I10" si="0">SUM(G6*H6)</f>
        <v>196.8</v>
      </c>
    </row>
    <row r="7" spans="1:9" ht="14.4" x14ac:dyDescent="0.3">
      <c r="A7" s="4">
        <v>1</v>
      </c>
      <c r="B7" s="5" t="s">
        <v>86</v>
      </c>
      <c r="C7" s="6" t="s">
        <v>81</v>
      </c>
      <c r="D7" s="11" t="s">
        <v>87</v>
      </c>
      <c r="E7" s="16" t="s">
        <v>85</v>
      </c>
      <c r="F7" s="16" t="s">
        <v>92</v>
      </c>
      <c r="G7" s="6">
        <v>2</v>
      </c>
      <c r="H7" s="7">
        <v>196.8</v>
      </c>
      <c r="I7" s="4">
        <f t="shared" si="0"/>
        <v>393.6</v>
      </c>
    </row>
    <row r="8" spans="1:9" ht="14.4" x14ac:dyDescent="0.3">
      <c r="A8" s="4">
        <v>1</v>
      </c>
      <c r="B8" s="5" t="s">
        <v>88</v>
      </c>
      <c r="C8" s="6" t="s">
        <v>81</v>
      </c>
      <c r="D8" s="11" t="s">
        <v>89</v>
      </c>
      <c r="E8" s="16" t="s">
        <v>145</v>
      </c>
      <c r="F8" s="16" t="s">
        <v>92</v>
      </c>
      <c r="G8" s="6">
        <v>2</v>
      </c>
      <c r="H8" s="7">
        <v>196.8</v>
      </c>
      <c r="I8" s="4">
        <f t="shared" si="0"/>
        <v>393.6</v>
      </c>
    </row>
    <row r="9" spans="1:9" ht="14.4" x14ac:dyDescent="0.3">
      <c r="A9" s="4">
        <v>1</v>
      </c>
      <c r="B9" s="5" t="s">
        <v>18</v>
      </c>
      <c r="C9" s="6" t="s">
        <v>81</v>
      </c>
      <c r="D9" s="11" t="s">
        <v>90</v>
      </c>
      <c r="E9" s="11"/>
      <c r="F9" s="16" t="s">
        <v>92</v>
      </c>
      <c r="G9" s="6">
        <v>2</v>
      </c>
      <c r="H9" s="7">
        <v>196.8</v>
      </c>
      <c r="I9" s="4">
        <f t="shared" si="0"/>
        <v>393.6</v>
      </c>
    </row>
    <row r="10" spans="1:9" ht="14.4" x14ac:dyDescent="0.3">
      <c r="A10" s="4">
        <v>1</v>
      </c>
      <c r="B10" s="5" t="s">
        <v>91</v>
      </c>
      <c r="C10" s="6" t="s">
        <v>81</v>
      </c>
      <c r="D10" s="11" t="s">
        <v>92</v>
      </c>
      <c r="E10" s="11"/>
      <c r="F10" s="16" t="s">
        <v>92</v>
      </c>
      <c r="G10" s="6">
        <v>2</v>
      </c>
      <c r="H10" s="7">
        <v>196.8</v>
      </c>
      <c r="I10" s="4">
        <f t="shared" si="0"/>
        <v>393.6</v>
      </c>
    </row>
    <row r="11" spans="1:9" ht="18" x14ac:dyDescent="0.3">
      <c r="A11" s="70" t="s">
        <v>29</v>
      </c>
      <c r="B11" s="48"/>
      <c r="C11" s="48"/>
      <c r="D11" s="48"/>
      <c r="E11" s="48"/>
      <c r="F11" s="48"/>
      <c r="G11" s="9">
        <f>SUM(G5:G10)</f>
        <v>11</v>
      </c>
      <c r="H11" s="71">
        <f>SUM(I5:I10)</f>
        <v>2164.8000000000002</v>
      </c>
      <c r="I11" s="72"/>
    </row>
    <row r="12" spans="1:9" ht="14.4" x14ac:dyDescent="0.3"/>
    <row r="13" spans="1:9" ht="14.4" x14ac:dyDescent="0.3"/>
    <row r="14" spans="1:9" ht="14.4" x14ac:dyDescent="0.3"/>
    <row r="15" spans="1:9" ht="14.4" x14ac:dyDescent="0.3"/>
    <row r="16" spans="1:9" ht="14.4" x14ac:dyDescent="0.3"/>
    <row r="17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5">
    <mergeCell ref="A11:F11"/>
    <mergeCell ref="A1:I1"/>
    <mergeCell ref="A2:I2"/>
    <mergeCell ref="A3:I3"/>
    <mergeCell ref="H11:I11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workbookViewId="0">
      <selection activeCell="C5" sqref="C5:D5"/>
    </sheetView>
  </sheetViews>
  <sheetFormatPr defaultColWidth="14.44140625" defaultRowHeight="15" customHeight="1" x14ac:dyDescent="0.3"/>
  <cols>
    <col min="1" max="1" width="5" customWidth="1"/>
    <col min="2" max="2" width="17.5546875" customWidth="1"/>
    <col min="3" max="3" width="11" customWidth="1"/>
    <col min="4" max="4" width="16.109375" customWidth="1"/>
    <col min="5" max="5" width="11" customWidth="1"/>
    <col min="6" max="6" width="12.109375" customWidth="1"/>
    <col min="7" max="7" width="12" customWidth="1"/>
    <col min="8" max="8" width="12.5546875" customWidth="1"/>
  </cols>
  <sheetData>
    <row r="1" spans="1:8" ht="72.75" customHeight="1" x14ac:dyDescent="0.3">
      <c r="A1" s="47" t="s">
        <v>0</v>
      </c>
      <c r="B1" s="48"/>
      <c r="C1" s="48"/>
      <c r="D1" s="48"/>
      <c r="E1" s="48"/>
      <c r="F1" s="48"/>
      <c r="G1" s="48"/>
      <c r="H1" s="49"/>
    </row>
    <row r="2" spans="1:8" ht="24.75" customHeight="1" x14ac:dyDescent="0.3">
      <c r="A2" s="50" t="s">
        <v>93</v>
      </c>
      <c r="B2" s="48"/>
      <c r="C2" s="48"/>
      <c r="D2" s="48"/>
      <c r="E2" s="48"/>
      <c r="F2" s="48"/>
      <c r="G2" s="48"/>
      <c r="H2" s="49"/>
    </row>
    <row r="3" spans="1:8" ht="15.6" x14ac:dyDescent="0.3">
      <c r="A3" s="50" t="s">
        <v>192</v>
      </c>
      <c r="B3" s="48"/>
      <c r="C3" s="48"/>
      <c r="D3" s="48"/>
      <c r="E3" s="48"/>
      <c r="F3" s="48"/>
      <c r="G3" s="48"/>
      <c r="H3" s="49"/>
    </row>
    <row r="4" spans="1:8" ht="31.2" x14ac:dyDescent="0.3">
      <c r="A4" s="2" t="s">
        <v>3</v>
      </c>
      <c r="B4" s="2" t="s">
        <v>94</v>
      </c>
      <c r="C4" s="2" t="s">
        <v>95</v>
      </c>
      <c r="D4" s="3" t="s">
        <v>142</v>
      </c>
      <c r="E4" s="3" t="s">
        <v>96</v>
      </c>
      <c r="F4" s="31" t="s">
        <v>161</v>
      </c>
      <c r="G4" s="88" t="s">
        <v>29</v>
      </c>
    </row>
    <row r="5" spans="1:8" ht="14.4" x14ac:dyDescent="0.3">
      <c r="A5" s="6">
        <v>1</v>
      </c>
      <c r="B5" s="6" t="s">
        <v>97</v>
      </c>
      <c r="C5" s="6">
        <v>30</v>
      </c>
      <c r="D5" s="15" t="s">
        <v>152</v>
      </c>
      <c r="E5" s="6">
        <v>110</v>
      </c>
      <c r="F5" s="37">
        <v>84.75</v>
      </c>
      <c r="G5" s="89">
        <f>SUM(E5*F5)</f>
        <v>9322.5</v>
      </c>
    </row>
    <row r="6" spans="1:8" ht="18" x14ac:dyDescent="0.3">
      <c r="A6" s="17" t="s">
        <v>29</v>
      </c>
      <c r="B6" s="18"/>
      <c r="C6" s="18"/>
      <c r="D6" s="93"/>
      <c r="E6" s="9">
        <f>SUM(E5:E5)</f>
        <v>110</v>
      </c>
      <c r="F6" s="37">
        <v>93.22</v>
      </c>
      <c r="G6" s="89">
        <f t="shared" ref="G6:G8" si="0">SUM(E6*F6)</f>
        <v>10254.200000000001</v>
      </c>
    </row>
    <row r="7" spans="1:8" ht="14.4" x14ac:dyDescent="0.3">
      <c r="F7" s="37">
        <v>127.11</v>
      </c>
      <c r="G7" s="89">
        <f t="shared" si="0"/>
        <v>0</v>
      </c>
    </row>
    <row r="8" spans="1:8" ht="15" customHeight="1" x14ac:dyDescent="0.3">
      <c r="F8" s="37">
        <v>305.08</v>
      </c>
      <c r="G8" s="89">
        <f t="shared" si="0"/>
        <v>0</v>
      </c>
    </row>
    <row r="9" spans="1:8" ht="15" customHeight="1" x14ac:dyDescent="0.3">
      <c r="F9" s="86"/>
      <c r="G9" s="91">
        <f>SUM(G5:G8)</f>
        <v>19576.7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3">
    <mergeCell ref="A1:H1"/>
    <mergeCell ref="A2:H2"/>
    <mergeCell ref="A3:H3"/>
  </mergeCells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1"/>
    </sheetView>
  </sheetViews>
  <sheetFormatPr defaultColWidth="14.44140625" defaultRowHeight="15" customHeight="1" x14ac:dyDescent="0.3"/>
  <cols>
    <col min="1" max="1" width="4.88671875" customWidth="1"/>
    <col min="2" max="2" width="22.109375" customWidth="1"/>
    <col min="3" max="3" width="8.44140625" customWidth="1"/>
    <col min="4" max="4" width="10.109375" customWidth="1"/>
    <col min="5" max="5" width="10.88671875" customWidth="1"/>
    <col min="6" max="6" width="11.5546875" customWidth="1"/>
    <col min="7" max="7" width="18.44140625" customWidth="1"/>
    <col min="8" max="8" width="8.6640625" customWidth="1"/>
  </cols>
  <sheetData>
    <row r="1" spans="1:8" ht="54" customHeight="1" x14ac:dyDescent="0.3">
      <c r="A1" s="47" t="s">
        <v>0</v>
      </c>
      <c r="B1" s="48"/>
      <c r="C1" s="48"/>
      <c r="D1" s="48"/>
      <c r="E1" s="48"/>
      <c r="F1" s="48"/>
      <c r="G1" s="48"/>
      <c r="H1" s="49"/>
    </row>
    <row r="2" spans="1:8" ht="24.75" customHeight="1" x14ac:dyDescent="0.3">
      <c r="A2" s="50" t="s">
        <v>98</v>
      </c>
      <c r="B2" s="48"/>
      <c r="C2" s="48"/>
      <c r="D2" s="48"/>
      <c r="E2" s="48"/>
      <c r="F2" s="48"/>
      <c r="G2" s="49"/>
    </row>
    <row r="3" spans="1:8" ht="15.6" x14ac:dyDescent="0.3">
      <c r="A3" s="74" t="s">
        <v>99</v>
      </c>
      <c r="B3" s="48"/>
      <c r="C3" s="48"/>
      <c r="D3" s="48"/>
      <c r="E3" s="48"/>
      <c r="F3" s="48"/>
      <c r="G3" s="49"/>
    </row>
    <row r="4" spans="1:8" ht="50.25" customHeight="1" x14ac:dyDescent="0.3">
      <c r="A4" s="1" t="s">
        <v>3</v>
      </c>
      <c r="B4" s="2" t="s">
        <v>4</v>
      </c>
      <c r="C4" s="2" t="s">
        <v>95</v>
      </c>
      <c r="D4" s="3" t="s">
        <v>141</v>
      </c>
      <c r="E4" s="3" t="s">
        <v>143</v>
      </c>
      <c r="F4" s="3" t="s">
        <v>142</v>
      </c>
      <c r="G4" s="3" t="s">
        <v>100</v>
      </c>
    </row>
    <row r="5" spans="1:8" ht="20.25" customHeight="1" x14ac:dyDescent="0.3">
      <c r="A5" s="6">
        <v>1</v>
      </c>
      <c r="B5" s="10" t="s">
        <v>101</v>
      </c>
      <c r="C5" s="6" t="s">
        <v>102</v>
      </c>
      <c r="D5" s="7" t="s">
        <v>103</v>
      </c>
      <c r="E5" s="7" t="s">
        <v>103</v>
      </c>
      <c r="F5" s="7">
        <v>0</v>
      </c>
      <c r="G5" s="6">
        <v>100</v>
      </c>
    </row>
    <row r="6" spans="1:8" ht="17.25" customHeight="1" x14ac:dyDescent="0.3">
      <c r="A6" s="6">
        <v>2</v>
      </c>
      <c r="B6" s="10" t="s">
        <v>104</v>
      </c>
      <c r="C6" s="6" t="s">
        <v>102</v>
      </c>
      <c r="D6" s="7" t="s">
        <v>103</v>
      </c>
      <c r="E6" s="7" t="s">
        <v>103</v>
      </c>
      <c r="F6" s="7" t="s">
        <v>103</v>
      </c>
      <c r="G6" s="6">
        <v>150</v>
      </c>
    </row>
    <row r="7" spans="1:8" ht="18" customHeight="1" x14ac:dyDescent="0.3">
      <c r="A7" s="6">
        <v>3</v>
      </c>
      <c r="B7" s="10" t="s">
        <v>105</v>
      </c>
      <c r="C7" s="6" t="s">
        <v>102</v>
      </c>
      <c r="D7" s="7" t="s">
        <v>103</v>
      </c>
      <c r="E7" s="7" t="s">
        <v>103</v>
      </c>
      <c r="F7" s="7" t="s">
        <v>103</v>
      </c>
      <c r="G7" s="6">
        <v>150</v>
      </c>
    </row>
    <row r="8" spans="1:8" ht="18" x14ac:dyDescent="0.3">
      <c r="A8" s="73" t="s">
        <v>29</v>
      </c>
      <c r="B8" s="48"/>
      <c r="C8" s="48"/>
      <c r="D8" s="48"/>
      <c r="E8" s="48"/>
      <c r="F8" s="48"/>
      <c r="G8" s="9">
        <f>SUM(G5:G7)</f>
        <v>400</v>
      </c>
    </row>
    <row r="9" spans="1:8" ht="18" x14ac:dyDescent="0.35">
      <c r="A9" s="1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4">
    <mergeCell ref="A2:G2"/>
    <mergeCell ref="A3:G3"/>
    <mergeCell ref="A8:F8"/>
    <mergeCell ref="A1:H1"/>
  </mergeCell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1"/>
    </sheetView>
  </sheetViews>
  <sheetFormatPr defaultColWidth="14.44140625" defaultRowHeight="15" customHeight="1" x14ac:dyDescent="0.3"/>
  <cols>
    <col min="1" max="1" width="5" customWidth="1"/>
    <col min="2" max="2" width="22.5546875" customWidth="1"/>
    <col min="3" max="6" width="15.6640625" customWidth="1"/>
    <col min="7" max="7" width="11.109375" customWidth="1"/>
    <col min="8" max="8" width="13.6640625" customWidth="1"/>
    <col min="9" max="11" width="8.6640625" customWidth="1"/>
  </cols>
  <sheetData>
    <row r="1" spans="1:8" ht="48.75" customHeight="1" x14ac:dyDescent="0.3">
      <c r="A1" s="47" t="s">
        <v>0</v>
      </c>
      <c r="B1" s="48"/>
      <c r="C1" s="48"/>
      <c r="D1" s="48"/>
      <c r="E1" s="48"/>
      <c r="F1" s="48"/>
      <c r="G1" s="48"/>
      <c r="H1" s="49"/>
    </row>
    <row r="2" spans="1:8" ht="15.6" x14ac:dyDescent="0.3">
      <c r="A2" s="75" t="s">
        <v>106</v>
      </c>
      <c r="B2" s="48"/>
      <c r="C2" s="48"/>
      <c r="D2" s="48"/>
      <c r="E2" s="48"/>
      <c r="F2" s="48"/>
      <c r="G2" s="48"/>
      <c r="H2" s="49"/>
    </row>
    <row r="3" spans="1:8" ht="15.6" x14ac:dyDescent="0.3">
      <c r="A3" s="74" t="s">
        <v>107</v>
      </c>
      <c r="B3" s="48"/>
      <c r="C3" s="48"/>
      <c r="D3" s="48"/>
      <c r="E3" s="48"/>
      <c r="F3" s="48"/>
      <c r="G3" s="48"/>
      <c r="H3" s="49"/>
    </row>
    <row r="4" spans="1:8" ht="31.2" x14ac:dyDescent="0.3">
      <c r="A4" s="2" t="s">
        <v>3</v>
      </c>
      <c r="B4" s="2" t="s">
        <v>4</v>
      </c>
      <c r="C4" s="2" t="s">
        <v>5</v>
      </c>
      <c r="D4" s="3" t="s">
        <v>141</v>
      </c>
      <c r="E4" s="3" t="s">
        <v>143</v>
      </c>
      <c r="F4" s="3" t="s">
        <v>142</v>
      </c>
      <c r="G4" s="3" t="s">
        <v>6</v>
      </c>
      <c r="H4" s="2" t="s">
        <v>7</v>
      </c>
    </row>
    <row r="5" spans="1:8" ht="14.4" x14ac:dyDescent="0.3">
      <c r="A5" s="4">
        <v>1</v>
      </c>
      <c r="B5" s="8" t="s">
        <v>108</v>
      </c>
      <c r="C5" s="6" t="s">
        <v>109</v>
      </c>
      <c r="D5" s="7" t="s">
        <v>110</v>
      </c>
      <c r="E5" s="15" t="s">
        <v>146</v>
      </c>
      <c r="F5" s="15" t="s">
        <v>147</v>
      </c>
      <c r="G5" s="6">
        <v>264</v>
      </c>
      <c r="H5" s="6"/>
    </row>
    <row r="6" spans="1:8" ht="14.4" x14ac:dyDescent="0.3">
      <c r="A6" s="4">
        <v>2</v>
      </c>
      <c r="B6" s="8" t="s">
        <v>8</v>
      </c>
      <c r="C6" s="6" t="s">
        <v>109</v>
      </c>
      <c r="D6" s="7" t="s">
        <v>111</v>
      </c>
      <c r="E6" s="15" t="s">
        <v>146</v>
      </c>
      <c r="F6" s="15" t="s">
        <v>146</v>
      </c>
      <c r="G6" s="6">
        <v>216</v>
      </c>
      <c r="H6" s="8"/>
    </row>
    <row r="7" spans="1:8" ht="14.4" x14ac:dyDescent="0.3">
      <c r="A7" s="4">
        <v>3</v>
      </c>
      <c r="B7" s="8" t="s">
        <v>112</v>
      </c>
      <c r="C7" s="6" t="s">
        <v>109</v>
      </c>
      <c r="D7" s="7" t="s">
        <v>111</v>
      </c>
      <c r="E7" s="15" t="s">
        <v>146</v>
      </c>
      <c r="F7" s="15" t="s">
        <v>147</v>
      </c>
      <c r="G7" s="6">
        <v>312</v>
      </c>
      <c r="H7" s="8"/>
    </row>
    <row r="8" spans="1:8" ht="14.4" x14ac:dyDescent="0.3">
      <c r="A8" s="4">
        <v>4</v>
      </c>
      <c r="B8" s="8" t="s">
        <v>113</v>
      </c>
      <c r="C8" s="6" t="s">
        <v>109</v>
      </c>
      <c r="D8" s="7" t="s">
        <v>111</v>
      </c>
      <c r="E8" s="15" t="s">
        <v>147</v>
      </c>
      <c r="F8" s="15" t="s">
        <v>146</v>
      </c>
      <c r="G8" s="6">
        <v>312</v>
      </c>
      <c r="H8" s="8"/>
    </row>
    <row r="9" spans="1:8" ht="14.4" x14ac:dyDescent="0.3">
      <c r="A9" s="4">
        <v>5</v>
      </c>
      <c r="B9" s="8" t="s">
        <v>73</v>
      </c>
      <c r="C9" s="6" t="s">
        <v>109</v>
      </c>
      <c r="D9" s="7" t="s">
        <v>114</v>
      </c>
      <c r="E9" s="15" t="s">
        <v>148</v>
      </c>
      <c r="F9" s="15" t="s">
        <v>148</v>
      </c>
      <c r="G9" s="6">
        <v>144</v>
      </c>
      <c r="H9" s="8"/>
    </row>
    <row r="10" spans="1:8" ht="14.4" x14ac:dyDescent="0.3">
      <c r="A10" s="4">
        <v>6</v>
      </c>
      <c r="B10" s="8" t="s">
        <v>115</v>
      </c>
      <c r="C10" s="6" t="s">
        <v>109</v>
      </c>
      <c r="D10" s="7" t="s">
        <v>110</v>
      </c>
      <c r="E10" s="15" t="s">
        <v>148</v>
      </c>
      <c r="F10" s="15" t="s">
        <v>150</v>
      </c>
      <c r="G10" s="6">
        <v>108</v>
      </c>
      <c r="H10" s="8"/>
    </row>
    <row r="11" spans="1:8" ht="14.4" x14ac:dyDescent="0.3">
      <c r="A11" s="4">
        <v>7</v>
      </c>
      <c r="B11" s="8" t="s">
        <v>116</v>
      </c>
      <c r="C11" s="6" t="s">
        <v>109</v>
      </c>
      <c r="D11" s="7" t="s">
        <v>111</v>
      </c>
      <c r="E11" s="15" t="s">
        <v>148</v>
      </c>
      <c r="F11" s="15" t="s">
        <v>148</v>
      </c>
      <c r="G11" s="6">
        <v>168</v>
      </c>
      <c r="H11" s="8"/>
    </row>
    <row r="12" spans="1:8" ht="14.4" x14ac:dyDescent="0.3">
      <c r="A12" s="4">
        <v>8</v>
      </c>
      <c r="B12" s="8" t="s">
        <v>22</v>
      </c>
      <c r="C12" s="6" t="s">
        <v>109</v>
      </c>
      <c r="D12" s="7" t="s">
        <v>114</v>
      </c>
      <c r="E12" s="15" t="s">
        <v>148</v>
      </c>
      <c r="F12" s="15" t="s">
        <v>147</v>
      </c>
      <c r="G12" s="6">
        <v>364</v>
      </c>
      <c r="H12" s="8"/>
    </row>
    <row r="13" spans="1:8" ht="14.4" x14ac:dyDescent="0.3">
      <c r="A13" s="4">
        <v>9</v>
      </c>
      <c r="B13" s="8" t="s">
        <v>117</v>
      </c>
      <c r="C13" s="6" t="s">
        <v>109</v>
      </c>
      <c r="D13" s="7" t="s">
        <v>111</v>
      </c>
      <c r="E13" s="15" t="s">
        <v>149</v>
      </c>
      <c r="F13" s="15" t="s">
        <v>146</v>
      </c>
      <c r="G13" s="6">
        <v>196</v>
      </c>
      <c r="H13" s="8"/>
    </row>
    <row r="14" spans="1:8" ht="18" x14ac:dyDescent="0.35">
      <c r="A14" s="73" t="s">
        <v>29</v>
      </c>
      <c r="B14" s="48"/>
      <c r="C14" s="48"/>
      <c r="D14" s="48"/>
      <c r="E14" s="48"/>
      <c r="F14" s="48"/>
      <c r="G14" s="13">
        <f>SUM(G5:G13)</f>
        <v>2084</v>
      </c>
      <c r="H14" s="8"/>
    </row>
    <row r="17" spans="7:11" ht="15" customHeight="1" x14ac:dyDescent="0.3">
      <c r="G17" s="48"/>
      <c r="H17" s="48"/>
      <c r="I17" s="48"/>
      <c r="J17" s="48"/>
      <c r="K17" s="49"/>
    </row>
    <row r="21" spans="7:11" ht="15.75" customHeight="1" x14ac:dyDescent="0.3"/>
    <row r="22" spans="7:11" ht="15.75" customHeight="1" x14ac:dyDescent="0.3"/>
    <row r="23" spans="7:11" ht="15.75" customHeight="1" x14ac:dyDescent="0.3"/>
    <row r="24" spans="7:11" ht="15.75" customHeight="1" x14ac:dyDescent="0.3"/>
    <row r="25" spans="7:11" ht="15.75" customHeight="1" x14ac:dyDescent="0.3"/>
    <row r="26" spans="7:11" ht="15.75" customHeight="1" x14ac:dyDescent="0.3"/>
    <row r="27" spans="7:11" ht="15.75" customHeight="1" x14ac:dyDescent="0.3"/>
    <row r="28" spans="7:11" ht="15.75" customHeight="1" x14ac:dyDescent="0.3"/>
    <row r="29" spans="7:11" ht="15.75" customHeight="1" x14ac:dyDescent="0.3"/>
    <row r="30" spans="7:11" ht="15.75" customHeight="1" x14ac:dyDescent="0.3"/>
    <row r="31" spans="7:11" ht="15.75" customHeight="1" x14ac:dyDescent="0.3"/>
    <row r="32" spans="7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5">
    <mergeCell ref="A1:H1"/>
    <mergeCell ref="A2:H2"/>
    <mergeCell ref="A3:H3"/>
    <mergeCell ref="A14:F14"/>
    <mergeCell ref="G17:K17"/>
  </mergeCell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opLeftCell="B1" workbookViewId="0">
      <selection activeCell="G15" sqref="G15"/>
    </sheetView>
  </sheetViews>
  <sheetFormatPr defaultColWidth="14.44140625" defaultRowHeight="15" customHeight="1" x14ac:dyDescent="0.3"/>
  <cols>
    <col min="1" max="1" width="5.44140625" customWidth="1"/>
    <col min="2" max="2" width="20.109375" customWidth="1"/>
    <col min="3" max="3" width="10.44140625" customWidth="1"/>
    <col min="4" max="4" width="15.33203125" customWidth="1"/>
    <col min="5" max="6" width="10.44140625" customWidth="1"/>
    <col min="7" max="7" width="13.44140625" customWidth="1"/>
    <col min="8" max="8" width="13.33203125" customWidth="1"/>
  </cols>
  <sheetData>
    <row r="1" spans="1:8" ht="56.25" customHeight="1" x14ac:dyDescent="0.3">
      <c r="A1" s="47" t="s">
        <v>0</v>
      </c>
      <c r="B1" s="76"/>
      <c r="C1" s="76"/>
      <c r="D1" s="76"/>
      <c r="E1" s="76"/>
      <c r="F1" s="76"/>
      <c r="G1" s="76"/>
      <c r="H1" s="77"/>
    </row>
    <row r="2" spans="1:8" ht="15.6" x14ac:dyDescent="0.3">
      <c r="A2" s="75" t="s">
        <v>118</v>
      </c>
      <c r="B2" s="78"/>
      <c r="C2" s="78"/>
      <c r="D2" s="78"/>
      <c r="E2" s="78"/>
      <c r="F2" s="78"/>
      <c r="G2" s="78"/>
      <c r="H2" s="79"/>
    </row>
    <row r="3" spans="1:8" ht="15.6" x14ac:dyDescent="0.3">
      <c r="A3" s="74" t="s">
        <v>119</v>
      </c>
      <c r="B3" s="80"/>
      <c r="C3" s="80"/>
      <c r="D3" s="80"/>
      <c r="E3" s="80"/>
      <c r="F3" s="80"/>
      <c r="G3" s="80"/>
      <c r="H3" s="81"/>
    </row>
    <row r="4" spans="1:8" ht="46.8" x14ac:dyDescent="0.3">
      <c r="A4" s="2" t="s">
        <v>3</v>
      </c>
      <c r="B4" s="2" t="s">
        <v>4</v>
      </c>
      <c r="C4" s="2" t="s">
        <v>5</v>
      </c>
      <c r="D4" s="3" t="s">
        <v>141</v>
      </c>
      <c r="E4" s="3" t="s">
        <v>143</v>
      </c>
      <c r="F4" s="3" t="s">
        <v>142</v>
      </c>
      <c r="G4" s="3" t="s">
        <v>6</v>
      </c>
      <c r="H4" s="2" t="s">
        <v>7</v>
      </c>
    </row>
    <row r="5" spans="1:8" ht="14.4" x14ac:dyDescent="0.3">
      <c r="A5" s="6">
        <v>1</v>
      </c>
      <c r="B5" s="8" t="s">
        <v>8</v>
      </c>
      <c r="C5" s="6" t="s">
        <v>120</v>
      </c>
      <c r="D5" s="7" t="s">
        <v>121</v>
      </c>
      <c r="E5" s="15" t="s">
        <v>153</v>
      </c>
      <c r="F5" s="15" t="s">
        <v>133</v>
      </c>
      <c r="G5" s="6">
        <v>26</v>
      </c>
      <c r="H5" s="6"/>
    </row>
    <row r="6" spans="1:8" ht="14.4" x14ac:dyDescent="0.3">
      <c r="A6" s="4">
        <v>2</v>
      </c>
      <c r="B6" s="8" t="s">
        <v>53</v>
      </c>
      <c r="C6" s="6" t="s">
        <v>120</v>
      </c>
      <c r="D6" s="7" t="s">
        <v>122</v>
      </c>
      <c r="E6" s="15" t="s">
        <v>153</v>
      </c>
      <c r="F6" s="15" t="s">
        <v>133</v>
      </c>
      <c r="G6" s="6">
        <v>21</v>
      </c>
      <c r="H6" s="8"/>
    </row>
    <row r="7" spans="1:8" ht="14.4" x14ac:dyDescent="0.3">
      <c r="A7" s="4">
        <v>3</v>
      </c>
      <c r="B7" s="8" t="s">
        <v>123</v>
      </c>
      <c r="C7" s="6" t="s">
        <v>120</v>
      </c>
      <c r="D7" s="7" t="s">
        <v>124</v>
      </c>
      <c r="E7" s="7">
        <v>0</v>
      </c>
      <c r="F7" s="15">
        <v>0</v>
      </c>
      <c r="G7" s="6">
        <v>12</v>
      </c>
      <c r="H7" s="8"/>
    </row>
    <row r="8" spans="1:8" ht="14.4" x14ac:dyDescent="0.3">
      <c r="A8" s="4">
        <v>4</v>
      </c>
      <c r="B8" s="8" t="s">
        <v>125</v>
      </c>
      <c r="C8" s="6" t="s">
        <v>120</v>
      </c>
      <c r="D8" s="7" t="s">
        <v>126</v>
      </c>
      <c r="E8" s="7">
        <v>0</v>
      </c>
      <c r="F8" s="7">
        <v>0</v>
      </c>
      <c r="G8" s="6">
        <v>1</v>
      </c>
      <c r="H8" s="8"/>
    </row>
    <row r="9" spans="1:8" ht="14.4" x14ac:dyDescent="0.3">
      <c r="A9" s="4">
        <v>5</v>
      </c>
      <c r="B9" s="8" t="s">
        <v>59</v>
      </c>
      <c r="C9" s="6" t="s">
        <v>120</v>
      </c>
      <c r="D9" s="7" t="s">
        <v>127</v>
      </c>
      <c r="E9" s="7">
        <v>0</v>
      </c>
      <c r="F9" s="15" t="s">
        <v>133</v>
      </c>
      <c r="G9" s="6">
        <v>3</v>
      </c>
      <c r="H9" s="8"/>
    </row>
    <row r="10" spans="1:8" ht="14.4" x14ac:dyDescent="0.3">
      <c r="A10" s="4">
        <v>6</v>
      </c>
      <c r="B10" s="8" t="s">
        <v>128</v>
      </c>
      <c r="C10" s="6" t="s">
        <v>120</v>
      </c>
      <c r="D10" s="7" t="s">
        <v>122</v>
      </c>
      <c r="E10" s="7">
        <v>0</v>
      </c>
      <c r="F10" s="15" t="s">
        <v>133</v>
      </c>
      <c r="G10" s="6">
        <v>16</v>
      </c>
      <c r="H10" s="8"/>
    </row>
    <row r="11" spans="1:8" ht="14.4" x14ac:dyDescent="0.3">
      <c r="A11" s="4">
        <v>7</v>
      </c>
      <c r="B11" s="8" t="s">
        <v>129</v>
      </c>
      <c r="C11" s="6" t="s">
        <v>120</v>
      </c>
      <c r="D11" s="7" t="s">
        <v>130</v>
      </c>
      <c r="E11" s="7">
        <v>0</v>
      </c>
      <c r="F11" s="7">
        <v>0</v>
      </c>
      <c r="G11" s="6">
        <v>10</v>
      </c>
      <c r="H11" s="8"/>
    </row>
    <row r="12" spans="1:8" ht="14.4" x14ac:dyDescent="0.3">
      <c r="A12" s="4">
        <v>8</v>
      </c>
      <c r="B12" s="8" t="s">
        <v>131</v>
      </c>
      <c r="C12" s="6" t="s">
        <v>120</v>
      </c>
      <c r="D12" s="7" t="s">
        <v>124</v>
      </c>
      <c r="E12" s="15" t="s">
        <v>153</v>
      </c>
      <c r="F12" s="15" t="s">
        <v>133</v>
      </c>
      <c r="G12" s="6">
        <v>18</v>
      </c>
      <c r="H12" s="8"/>
    </row>
    <row r="13" spans="1:8" ht="14.4" x14ac:dyDescent="0.3">
      <c r="A13" s="4">
        <v>9</v>
      </c>
      <c r="B13" s="8" t="s">
        <v>132</v>
      </c>
      <c r="C13" s="6" t="s">
        <v>120</v>
      </c>
      <c r="D13" s="7" t="s">
        <v>133</v>
      </c>
      <c r="E13" s="7">
        <v>0</v>
      </c>
      <c r="F13" s="7">
        <v>0</v>
      </c>
      <c r="G13" s="6">
        <v>1</v>
      </c>
      <c r="H13" s="8"/>
    </row>
    <row r="14" spans="1:8" ht="14.4" x14ac:dyDescent="0.3">
      <c r="A14" s="4">
        <v>10</v>
      </c>
      <c r="B14" s="8" t="s">
        <v>134</v>
      </c>
      <c r="C14" s="6" t="s">
        <v>120</v>
      </c>
      <c r="D14" s="7" t="s">
        <v>127</v>
      </c>
      <c r="E14" s="7">
        <v>0</v>
      </c>
      <c r="F14" s="7">
        <v>0</v>
      </c>
      <c r="G14" s="6">
        <v>2</v>
      </c>
      <c r="H14" s="8"/>
    </row>
    <row r="15" spans="1:8" ht="18" x14ac:dyDescent="0.35">
      <c r="A15" s="73" t="s">
        <v>29</v>
      </c>
      <c r="B15" s="82"/>
      <c r="C15" s="82"/>
      <c r="D15" s="82"/>
      <c r="E15" s="82"/>
      <c r="F15" s="82"/>
      <c r="G15" s="9">
        <f>SUM(G5:G14)</f>
        <v>110</v>
      </c>
      <c r="H15" s="1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4">
    <mergeCell ref="A1:H1"/>
    <mergeCell ref="A2:H2"/>
    <mergeCell ref="A3:H3"/>
    <mergeCell ref="A15:F15"/>
  </mergeCell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1"/>
  <sheetViews>
    <sheetView workbookViewId="0">
      <selection sqref="A1:F1"/>
    </sheetView>
  </sheetViews>
  <sheetFormatPr defaultColWidth="14.44140625" defaultRowHeight="15" customHeight="1" x14ac:dyDescent="0.3"/>
  <cols>
    <col min="1" max="1" width="5.6640625" customWidth="1"/>
    <col min="2" max="2" width="35.5546875" customWidth="1"/>
    <col min="3" max="3" width="15.88671875" customWidth="1"/>
    <col min="4" max="4" width="14.88671875" customWidth="1"/>
    <col min="5" max="5" width="15.6640625" customWidth="1"/>
    <col min="6" max="6" width="15.33203125" customWidth="1"/>
    <col min="7" max="8" width="8.6640625" customWidth="1"/>
  </cols>
  <sheetData>
    <row r="1" spans="1:8" ht="46.5" customHeight="1" x14ac:dyDescent="0.3">
      <c r="A1" s="58" t="s">
        <v>191</v>
      </c>
      <c r="B1" s="58"/>
      <c r="C1" s="58"/>
      <c r="D1" s="58"/>
      <c r="E1" s="58"/>
      <c r="F1" s="58"/>
      <c r="G1" s="41"/>
      <c r="H1" s="41"/>
    </row>
    <row r="2" spans="1:8" ht="15.6" x14ac:dyDescent="0.3">
      <c r="A2" s="59" t="s">
        <v>135</v>
      </c>
      <c r="B2" s="59"/>
      <c r="C2" s="59"/>
      <c r="D2" s="59"/>
      <c r="E2" s="59"/>
      <c r="F2" s="59"/>
      <c r="G2" s="41"/>
    </row>
    <row r="3" spans="1:8" ht="46.8" x14ac:dyDescent="0.3">
      <c r="A3" s="31" t="s">
        <v>3</v>
      </c>
      <c r="B3" s="31" t="s">
        <v>4</v>
      </c>
      <c r="C3" s="32" t="s">
        <v>142</v>
      </c>
      <c r="D3" s="32" t="s">
        <v>136</v>
      </c>
      <c r="E3" s="31" t="s">
        <v>161</v>
      </c>
      <c r="F3" s="88" t="s">
        <v>29</v>
      </c>
    </row>
    <row r="4" spans="1:8" ht="14.4" x14ac:dyDescent="0.3">
      <c r="A4" s="37">
        <v>1</v>
      </c>
      <c r="B4" s="42" t="s">
        <v>137</v>
      </c>
      <c r="C4" s="36" t="s">
        <v>194</v>
      </c>
      <c r="D4" s="34">
        <v>20</v>
      </c>
      <c r="E4" s="37">
        <v>84.75</v>
      </c>
      <c r="F4" s="89">
        <f>SUM(D4*E4)</f>
        <v>1695</v>
      </c>
    </row>
    <row r="5" spans="1:8" ht="14.4" x14ac:dyDescent="0.3">
      <c r="A5" s="37">
        <v>2</v>
      </c>
      <c r="B5" s="42" t="s">
        <v>138</v>
      </c>
      <c r="C5" s="36" t="s">
        <v>195</v>
      </c>
      <c r="D5" s="34">
        <v>30</v>
      </c>
      <c r="E5" s="37">
        <v>93.22</v>
      </c>
      <c r="F5" s="89">
        <f t="shared" ref="F5:F8" si="0">SUM(D5*E5)</f>
        <v>2796.6</v>
      </c>
    </row>
    <row r="6" spans="1:8" ht="14.4" x14ac:dyDescent="0.3">
      <c r="A6" s="37">
        <v>3</v>
      </c>
      <c r="B6" s="42" t="s">
        <v>139</v>
      </c>
      <c r="C6" s="36" t="s">
        <v>151</v>
      </c>
      <c r="D6" s="34">
        <v>10</v>
      </c>
      <c r="E6" s="37">
        <v>127.11</v>
      </c>
      <c r="F6" s="89">
        <f t="shared" si="0"/>
        <v>1271.0999999999999</v>
      </c>
    </row>
    <row r="7" spans="1:8" ht="14.4" x14ac:dyDescent="0.3">
      <c r="A7" s="37">
        <v>4</v>
      </c>
      <c r="B7" s="42" t="s">
        <v>140</v>
      </c>
      <c r="C7" s="36" t="s">
        <v>196</v>
      </c>
      <c r="D7" s="34">
        <v>2</v>
      </c>
      <c r="E7" s="37">
        <v>305.08</v>
      </c>
      <c r="F7" s="89">
        <f t="shared" si="0"/>
        <v>610.16</v>
      </c>
    </row>
    <row r="8" spans="1:8" s="94" customFormat="1" ht="14.4" x14ac:dyDescent="0.3">
      <c r="A8" s="7">
        <v>5</v>
      </c>
      <c r="B8" s="10" t="s">
        <v>193</v>
      </c>
      <c r="C8" s="36" t="s">
        <v>194</v>
      </c>
      <c r="D8" s="7">
        <v>20</v>
      </c>
      <c r="E8" s="7">
        <v>105</v>
      </c>
      <c r="F8" s="95">
        <f t="shared" si="0"/>
        <v>2100</v>
      </c>
    </row>
    <row r="9" spans="1:8" ht="18" x14ac:dyDescent="0.3">
      <c r="A9" s="60" t="s">
        <v>29</v>
      </c>
      <c r="B9" s="92"/>
      <c r="C9" s="61"/>
      <c r="D9" s="90">
        <f>SUM(D4:D8)</f>
        <v>82</v>
      </c>
      <c r="E9" s="86"/>
      <c r="F9" s="91">
        <f>SUM(F4:F8)</f>
        <v>8472.86</v>
      </c>
    </row>
    <row r="10" spans="1:8" ht="14.4" x14ac:dyDescent="0.3"/>
    <row r="11" spans="1:8" ht="14.4" x14ac:dyDescent="0.3"/>
    <row r="12" spans="1:8" ht="14.4" x14ac:dyDescent="0.3">
      <c r="G12" s="87"/>
    </row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</sheetData>
  <mergeCells count="3">
    <mergeCell ref="A1:F1"/>
    <mergeCell ref="A2:F2"/>
    <mergeCell ref="A9:C9"/>
  </mergeCells>
  <printOptions horizontalCentered="1" verticalCentered="1"/>
  <pageMargins left="1.2736614173228347" right="0.70866141732283472" top="0.74803149606299213" bottom="0.74803149606299213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Sheet1 (3)</vt:lpstr>
      <vt:lpstr>Sheet1 (2)</vt:lpstr>
      <vt:lpstr>Sheet1</vt:lpstr>
      <vt:lpstr>Sheet2</vt:lpstr>
      <vt:lpstr>Sheet8</vt:lpstr>
      <vt:lpstr>Sheet3</vt:lpstr>
      <vt:lpstr>Sheet4</vt:lpstr>
      <vt:lpstr>Sheet5</vt:lpstr>
      <vt:lpstr>Sheet6</vt:lpstr>
      <vt:lpstr>Sheet7</vt:lpstr>
      <vt:lpstr>Sheet9</vt:lpstr>
      <vt:lpstr>Sheet1!Print_Area</vt:lpstr>
      <vt:lpstr>Sheet6!Print_Area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2022-07-31T16:59:56Z</cp:lastPrinted>
  <dcterms:created xsi:type="dcterms:W3CDTF">2021-07-01T06:07:21Z</dcterms:created>
  <dcterms:modified xsi:type="dcterms:W3CDTF">2022-07-31T17:00:36Z</dcterms:modified>
</cp:coreProperties>
</file>