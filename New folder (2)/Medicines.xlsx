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Bhuvnesh\Hetal Ben\New folder (2)\"/>
    </mc:Choice>
  </mc:AlternateContent>
  <xr:revisionPtr revIDLastSave="0" documentId="13_ncr:1_{C7E26DC2-8AE6-4B91-9057-DAE00CFEA65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8" i="1" l="1"/>
  <c r="F18" i="3"/>
  <c r="F18" i="4"/>
  <c r="F18" i="5"/>
  <c r="F10" i="2"/>
  <c r="F11" i="2"/>
  <c r="F18" i="2" s="1"/>
  <c r="F12" i="2"/>
  <c r="F13" i="2"/>
  <c r="F14" i="2"/>
  <c r="F15" i="2"/>
  <c r="F16" i="2"/>
  <c r="F17" i="2"/>
  <c r="F10" i="3"/>
  <c r="F11" i="3"/>
  <c r="F12" i="3"/>
  <c r="F13" i="3"/>
  <c r="F14" i="3"/>
  <c r="F15" i="3"/>
  <c r="F16" i="3"/>
  <c r="F17" i="3"/>
  <c r="F10" i="4"/>
  <c r="F11" i="4"/>
  <c r="F12" i="4"/>
  <c r="F13" i="4"/>
  <c r="F14" i="4"/>
  <c r="F15" i="4"/>
  <c r="F16" i="4"/>
  <c r="F17" i="4"/>
  <c r="F10" i="5"/>
  <c r="F11" i="5"/>
  <c r="F12" i="5"/>
  <c r="F13" i="5"/>
  <c r="F14" i="5"/>
  <c r="F15" i="5"/>
  <c r="F16" i="5"/>
  <c r="F17" i="5"/>
  <c r="F10" i="1"/>
  <c r="F11" i="1"/>
  <c r="F12" i="1"/>
  <c r="F13" i="1"/>
  <c r="F14" i="1"/>
  <c r="F15" i="1"/>
  <c r="F16" i="1"/>
  <c r="F17" i="1"/>
  <c r="F9" i="2"/>
  <c r="F9" i="3"/>
  <c r="F9" i="4"/>
  <c r="F9" i="5"/>
  <c r="F9" i="1"/>
</calcChain>
</file>

<file path=xl/sharedStrings.xml><?xml version="1.0" encoding="utf-8"?>
<sst xmlns="http://schemas.openxmlformats.org/spreadsheetml/2006/main" count="97" uniqueCount="48">
  <si>
    <r>
      <rPr>
        <sz val="17"/>
        <rFont val="Cambria"/>
        <family val="1"/>
      </rPr>
      <t>Name  of  Dispensary</t>
    </r>
  </si>
  <si>
    <r>
      <rPr>
        <sz val="25"/>
        <rFont val="Trebuchet MS"/>
        <family val="2"/>
      </rPr>
      <t>Government Homeopathy Hospital</t>
    </r>
  </si>
  <si>
    <r>
      <rPr>
        <sz val="17"/>
        <rFont val="Cambria"/>
        <family val="1"/>
      </rPr>
      <t>Address-</t>
    </r>
  </si>
  <si>
    <r>
      <rPr>
        <sz val="16.5"/>
        <rFont val="Cambria"/>
        <family val="1"/>
      </rPr>
      <t xml:space="preserve">Al-Majivana </t>
    </r>
    <r>
      <rPr>
        <sz val="16.5"/>
        <color rgb="FF00003A"/>
        <rFont val="Cambria"/>
        <family val="1"/>
      </rPr>
      <t xml:space="preserve">, </t>
    </r>
    <r>
      <rPr>
        <sz val="16.5"/>
        <rFont val="Cambria"/>
        <family val="1"/>
      </rPr>
      <t>Ta- Porbandar,  Dist- Porbandar</t>
    </r>
  </si>
  <si>
    <r>
      <rPr>
        <sz val="16"/>
        <rFont val="Cambria"/>
        <family val="1"/>
      </rPr>
      <t>Corrtacl Person-</t>
    </r>
  </si>
  <si>
    <r>
      <rPr>
        <sz val="16.5"/>
        <rFont val="Cambria"/>
        <family val="1"/>
      </rPr>
      <t>Dr. Hetalben Pdndya</t>
    </r>
  </si>
  <si>
    <r>
      <rPr>
        <sz val="17"/>
        <rFont val="Cambria"/>
        <family val="1"/>
      </rPr>
      <t>Mobile No.</t>
    </r>
  </si>
  <si>
    <r>
      <rPr>
        <sz val="17"/>
        <rFont val="Cambria"/>
        <family val="1"/>
      </rPr>
      <t>SRNO</t>
    </r>
  </si>
  <si>
    <r>
      <rPr>
        <sz val="17"/>
        <rFont val="Cambria"/>
        <family val="1"/>
      </rPr>
      <t>MAME OF ITEAM</t>
    </r>
  </si>
  <si>
    <r>
      <rPr>
        <sz val="17"/>
        <rFont val="Cambria"/>
        <family val="1"/>
      </rPr>
      <t>PACKED</t>
    </r>
  </si>
  <si>
    <r>
      <rPr>
        <sz val="17"/>
        <rFont val="Cambria"/>
        <family val="1"/>
      </rPr>
      <t>FTE</t>
    </r>
  </si>
  <si>
    <r>
      <rPr>
        <sz val="15.5"/>
        <rFont val="Cambria"/>
        <family val="1"/>
      </rPr>
      <t>QUANTITY</t>
    </r>
  </si>
  <si>
    <r>
      <rPr>
        <sz val="16"/>
        <rFont val="Cambria"/>
        <family val="1"/>
      </rPr>
      <t>TOTAL</t>
    </r>
  </si>
  <si>
    <r>
      <rPr>
        <sz val="16.5"/>
        <rFont val="Cambria"/>
        <family val="1"/>
      </rPr>
      <t>Total</t>
    </r>
  </si>
  <si>
    <r>
      <rPr>
        <sz val="17.5"/>
        <rFont val="Trebuchet MS"/>
        <family val="2"/>
      </rPr>
      <t>SR NO</t>
    </r>
  </si>
  <si>
    <r>
      <rPr>
        <sz val="17.5"/>
        <rFont val="Trebuchet MS"/>
        <family val="2"/>
      </rPr>
      <t>NAME OF ITEAM</t>
    </r>
  </si>
  <si>
    <r>
      <rPr>
        <sz val="17.5"/>
        <rFont val="Trebuchet MS"/>
        <family val="2"/>
      </rPr>
      <t>PACKING</t>
    </r>
  </si>
  <si>
    <r>
      <rPr>
        <sz val="17.5"/>
        <rFont val="Trebuchet MS"/>
        <family val="2"/>
      </rPr>
      <t>RATE</t>
    </r>
  </si>
  <si>
    <r>
      <rPr>
        <sz val="17.5"/>
        <rFont val="Trebuchet MS"/>
        <family val="2"/>
      </rPr>
      <t>QUANTITY</t>
    </r>
  </si>
  <si>
    <r>
      <rPr>
        <sz val="17.5"/>
        <color rgb="FF000066"/>
        <rFont val="Trebuchet MS"/>
        <family val="2"/>
      </rPr>
      <t>TOTAL</t>
    </r>
  </si>
  <si>
    <r>
      <rPr>
        <sz val="17.5"/>
        <rFont val="Trebuchet MS"/>
        <family val="2"/>
      </rPr>
      <t xml:space="preserve">CALCAREA </t>
    </r>
    <r>
      <rPr>
        <sz val="17.5"/>
        <color rgb="FF0066B5"/>
        <rFont val="Trebuchet MS"/>
        <family val="2"/>
      </rPr>
      <t xml:space="preserve">PHOS </t>
    </r>
    <r>
      <rPr>
        <sz val="17.5"/>
        <rFont val="Trebuchet MS"/>
        <family val="2"/>
      </rPr>
      <t xml:space="preserve">6X </t>
    </r>
    <r>
      <rPr>
        <sz val="17.5"/>
        <color rgb="FF0066B5"/>
        <rFont val="Trebuchet MS"/>
        <family val="2"/>
      </rPr>
      <t>TAB</t>
    </r>
  </si>
  <si>
    <r>
      <rPr>
        <sz val="17.5"/>
        <color rgb="FF00003A"/>
        <rFont val="Trebuchet MS"/>
        <family val="2"/>
      </rPr>
      <t xml:space="preserve">450 </t>
    </r>
    <r>
      <rPr>
        <sz val="17.5"/>
        <rFont val="Trebuchet MS"/>
        <family val="2"/>
      </rPr>
      <t>GMS</t>
    </r>
  </si>
  <si>
    <r>
      <rPr>
        <sz val="17.5"/>
        <rFont val="Trebuchet MS"/>
        <family val="2"/>
      </rPr>
      <t xml:space="preserve">CALCAREA SULP 6X </t>
    </r>
    <r>
      <rPr>
        <sz val="17.5"/>
        <color rgb="FF0066B5"/>
        <rFont val="Trebuchet MS"/>
        <family val="2"/>
      </rPr>
      <t>TAB</t>
    </r>
  </si>
  <si>
    <r>
      <rPr>
        <sz val="17.5"/>
        <rFont val="Trebuchet MS"/>
        <family val="2"/>
      </rPr>
      <t xml:space="preserve">FERRUM </t>
    </r>
    <r>
      <rPr>
        <sz val="17.5"/>
        <color rgb="FF0066B5"/>
        <rFont val="Trebuchet MS"/>
        <family val="2"/>
      </rPr>
      <t xml:space="preserve">PHOS </t>
    </r>
    <r>
      <rPr>
        <sz val="17.5"/>
        <rFont val="Trebuchet MS"/>
        <family val="2"/>
      </rPr>
      <t xml:space="preserve">6X </t>
    </r>
    <r>
      <rPr>
        <sz val="17.5"/>
        <color rgb="FF0066B5"/>
        <rFont val="Trebuchet MS"/>
        <family val="2"/>
      </rPr>
      <t>TAB</t>
    </r>
  </si>
  <si>
    <r>
      <rPr>
        <sz val="17.5"/>
        <rFont val="Trebuchet MS"/>
        <family val="2"/>
      </rPr>
      <t xml:space="preserve">KALI </t>
    </r>
    <r>
      <rPr>
        <sz val="17.5"/>
        <color rgb="FF0066B5"/>
        <rFont val="Trebuchet MS"/>
        <family val="2"/>
      </rPr>
      <t xml:space="preserve">PHOS </t>
    </r>
    <r>
      <rPr>
        <sz val="17.5"/>
        <rFont val="Trebuchet MS"/>
        <family val="2"/>
      </rPr>
      <t xml:space="preserve">6X </t>
    </r>
    <r>
      <rPr>
        <sz val="17.5"/>
        <color rgb="FF0066B5"/>
        <rFont val="Trebuchet MS"/>
        <family val="2"/>
      </rPr>
      <t>TAB</t>
    </r>
  </si>
  <si>
    <t>INDENT OF HOMCEOPATHIC MEDICINES</t>
  </si>
  <si>
    <t>ARNICA OINTMENT  25 GMS</t>
  </si>
  <si>
    <t>BERBERIS AQU CREAM  25 GMS</t>
  </si>
  <si>
    <r>
      <t>B</t>
    </r>
    <r>
      <rPr>
        <sz val="17"/>
        <rFont val="Cambria"/>
        <family val="1"/>
      </rPr>
      <t>ERBERIS AQU CREAM  25 GMS</t>
    </r>
  </si>
  <si>
    <t>PETROLEUM  OINTMENT 25 GM S</t>
  </si>
  <si>
    <t>LEDUM  PALUSTRE  CREAM  25 GM S</t>
  </si>
  <si>
    <r>
      <rPr>
        <sz val="16.5"/>
        <rFont val="Cambria"/>
        <family val="1"/>
      </rPr>
      <t>AESCULUS HIPP  CREAM  25 GMS</t>
    </r>
  </si>
  <si>
    <r>
      <rPr>
        <sz val="16.5"/>
        <rFont val="Cambria"/>
        <family val="1"/>
      </rPr>
      <t>CALENDULA CREAM  25 GMS</t>
    </r>
  </si>
  <si>
    <r>
      <rPr>
        <sz val="16.5"/>
        <rFont val="Cambria"/>
        <family val="1"/>
      </rPr>
      <t>CANTHARIS  CREAM  - 25 GM S</t>
    </r>
  </si>
  <si>
    <r>
      <rPr>
        <sz val="16"/>
        <rFont val="Cambria"/>
        <family val="1"/>
      </rPr>
      <t>HAMAMELIS CREAM   25 GMS</t>
    </r>
  </si>
  <si>
    <r>
      <t xml:space="preserve">AESCULUS </t>
    </r>
    <r>
      <rPr>
        <sz val="16.5"/>
        <rFont val="Cambria"/>
        <family val="1"/>
      </rPr>
      <t>HIPP  CREAM  25 GMS</t>
    </r>
  </si>
  <si>
    <r>
      <t>CALENDU</t>
    </r>
    <r>
      <rPr>
        <sz val="16.5"/>
        <rFont val="Cambria"/>
        <family val="1"/>
      </rPr>
      <t>LA CREAM  25 GMS</t>
    </r>
  </si>
  <si>
    <r>
      <t xml:space="preserve">HAMAMELIS CREAM   </t>
    </r>
    <r>
      <rPr>
        <sz val="16"/>
        <rFont val="Cambria"/>
        <family val="1"/>
      </rPr>
      <t>25 GMS</t>
    </r>
  </si>
  <si>
    <r>
      <t xml:space="preserve">PETROLEUM  OINTMENT </t>
    </r>
    <r>
      <rPr>
        <sz val="17"/>
        <rFont val="Cambria"/>
        <family val="1"/>
      </rPr>
      <t>25 GM S</t>
    </r>
  </si>
  <si>
    <t>NATRUM SULPH 6X TAB</t>
  </si>
  <si>
    <t>25 GM S</t>
  </si>
  <si>
    <t>450 GMS</t>
  </si>
  <si>
    <r>
      <rPr>
        <sz val="18.5"/>
        <rFont val="Trebuchet MS"/>
        <family val="2"/>
      </rPr>
      <t>450 GMS</t>
    </r>
  </si>
  <si>
    <r>
      <rPr>
        <sz val="16.5"/>
        <rFont val="Trebuchet MS"/>
        <family val="2"/>
      </rPr>
      <t xml:space="preserve">CREAM </t>
    </r>
    <r>
      <rPr>
        <sz val="16.5"/>
        <color rgb="FFA58E5D"/>
        <rFont val="Trebuchet MS"/>
        <family val="2"/>
      </rPr>
      <t>&amp;</t>
    </r>
    <r>
      <rPr>
        <sz val="16.5"/>
        <rFont val="Trebuchet MS"/>
      </rPr>
      <t xml:space="preserve"> OINTMENT 25 GM</t>
    </r>
  </si>
  <si>
    <r>
      <t xml:space="preserve">CREAM </t>
    </r>
    <r>
      <rPr>
        <sz val="16.5"/>
        <color rgb="FFA58E5D"/>
        <rFont val="Trebuchet MS"/>
        <family val="2"/>
      </rPr>
      <t>&amp;</t>
    </r>
    <r>
      <rPr>
        <sz val="16.5"/>
        <rFont val="Trebuchet MS"/>
        <family val="2"/>
      </rPr>
      <t xml:space="preserve"> OINTMENT 25 GM</t>
    </r>
  </si>
  <si>
    <t>RHUSTOX OINTMENT - 25 GMS</t>
  </si>
  <si>
    <t>X</t>
  </si>
  <si>
    <t>INDENT OF HOMOEOPATHIC MEDICINES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</si>
</sst>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0"/>
      <color rgb="FF000000"/>
      <name val="Times New Roman"/>
      <charset val="204"/>
    </font>
    <font>
      <sz val="17"/>
      <name val="Cambria"/>
    </font>
    <font>
      <sz val="25"/>
      <name val="Trebuchet MS"/>
    </font>
    <font>
      <sz val="16.5"/>
      <name val="Cambria"/>
    </font>
    <font>
      <sz val="16"/>
      <name val="Cambria"/>
    </font>
    <font>
      <sz val="16.5"/>
      <color rgb="FF000000"/>
      <name val="Trebuchet MS"/>
      <family val="2"/>
    </font>
    <font>
      <sz val="16.5"/>
      <name val="Trebuchet MS"/>
    </font>
    <font>
      <sz val="15.5"/>
      <name val="Cambria"/>
    </font>
    <font>
      <sz val="17"/>
      <color rgb="FF000000"/>
      <name val="Times New Roman"/>
      <family val="2"/>
    </font>
    <font>
      <sz val="17.5"/>
      <name val="Trebuchet MS"/>
    </font>
    <font>
      <sz val="17.5"/>
      <color rgb="FF000066"/>
      <name val="Trebuchet MS"/>
      <family val="2"/>
    </font>
    <font>
      <sz val="17"/>
      <color rgb="FF000066"/>
      <name val="Trebuchet MS"/>
      <family val="2"/>
    </font>
    <font>
      <sz val="17.5"/>
      <color rgb="FF00003A"/>
      <name val="Cambria"/>
      <family val="2"/>
    </font>
    <font>
      <sz val="17.5"/>
      <color rgb="FF000066"/>
      <name val="Cambria"/>
      <family val="2"/>
    </font>
    <font>
      <sz val="17.5"/>
      <color rgb="FF3A90DB"/>
      <name val="Trebuchet MS"/>
      <family val="2"/>
    </font>
    <font>
      <sz val="17.5"/>
      <color rgb="FF00003A"/>
      <name val="Trebuchet MS"/>
      <family val="2"/>
    </font>
    <font>
      <sz val="17.5"/>
      <color rgb="FF0066B5"/>
      <name val="Trebuchet MS"/>
      <family val="2"/>
    </font>
    <font>
      <sz val="17"/>
      <name val="Cambria"/>
      <family val="1"/>
    </font>
    <font>
      <sz val="25"/>
      <name val="Trebuchet MS"/>
      <family val="2"/>
    </font>
    <font>
      <sz val="16.5"/>
      <name val="Cambria"/>
      <family val="1"/>
    </font>
    <font>
      <sz val="16.5"/>
      <color rgb="FF00003A"/>
      <name val="Cambria"/>
      <family val="1"/>
    </font>
    <font>
      <sz val="16"/>
      <name val="Cambria"/>
      <family val="1"/>
    </font>
    <font>
      <sz val="16.5"/>
      <name val="Trebuchet MS"/>
      <family val="2"/>
    </font>
    <font>
      <sz val="16.5"/>
      <color rgb="FFA58E5D"/>
      <name val="Trebuchet MS"/>
      <family val="2"/>
    </font>
    <font>
      <sz val="15.5"/>
      <name val="Cambria"/>
      <family val="1"/>
    </font>
    <font>
      <sz val="17.5"/>
      <name val="Trebuchet MS"/>
      <family val="2"/>
    </font>
    <font>
      <sz val="18.5"/>
      <name val="Trebuchet MS"/>
      <family val="2"/>
    </font>
    <font>
      <sz val="34"/>
      <color rgb="FF000000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C0C0C"/>
      </left>
      <right/>
      <top style="thin">
        <color rgb="FF0C0C0C"/>
      </top>
      <bottom style="thin">
        <color rgb="FF0C0C0C"/>
      </bottom>
      <diagonal/>
    </border>
    <border>
      <left/>
      <right/>
      <top style="thin">
        <color rgb="FF0C0C0C"/>
      </top>
      <bottom style="thin">
        <color rgb="FF0C0C0C"/>
      </bottom>
      <diagonal/>
    </border>
    <border>
      <left style="thin">
        <color rgb="FF0C0C0C"/>
      </left>
      <right style="thin">
        <color rgb="FF0C0C0C"/>
      </right>
      <top style="thin">
        <color rgb="FF0C0C0C"/>
      </top>
      <bottom style="thin">
        <color rgb="FF0C0C0C"/>
      </bottom>
      <diagonal/>
    </border>
    <border>
      <left/>
      <right/>
      <top/>
      <bottom style="thin">
        <color rgb="FF0C0C0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 applyFill="1" applyBorder="1" applyAlignment="1">
      <alignment horizontal="left" vertical="top"/>
    </xf>
    <xf numFmtId="0" fontId="4" fillId="0" borderId="4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left" vertical="top" wrapText="1"/>
    </xf>
    <xf numFmtId="0" fontId="7" fillId="0" borderId="4" xfId="0" applyFont="1" applyFill="1" applyBorder="1" applyAlignment="1">
      <alignment horizontal="right" vertical="top" wrapText="1"/>
    </xf>
    <xf numFmtId="2" fontId="8" fillId="0" borderId="4" xfId="0" applyNumberFormat="1" applyFont="1" applyFill="1" applyBorder="1" applyAlignment="1">
      <alignment horizontal="right" vertical="top" shrinkToFit="1"/>
    </xf>
    <xf numFmtId="0" fontId="9" fillId="0" borderId="8" xfId="0" applyFont="1" applyFill="1" applyBorder="1" applyAlignment="1">
      <alignment horizontal="center" vertical="top" wrapText="1"/>
    </xf>
    <xf numFmtId="0" fontId="9" fillId="0" borderId="10" xfId="0" applyFont="1" applyFill="1" applyBorder="1" applyAlignment="1">
      <alignment horizontal="left" vertical="top" wrapText="1" indent="2"/>
    </xf>
    <xf numFmtId="0" fontId="9" fillId="0" borderId="10" xfId="0" applyFont="1" applyFill="1" applyBorder="1" applyAlignment="1">
      <alignment horizontal="left" vertical="top" wrapText="1" indent="11"/>
    </xf>
    <xf numFmtId="0" fontId="9" fillId="0" borderId="10" xfId="0" applyFont="1" applyFill="1" applyBorder="1" applyAlignment="1">
      <alignment horizontal="left" vertical="top" wrapText="1" indent="1"/>
    </xf>
    <xf numFmtId="0" fontId="9" fillId="0" borderId="10" xfId="0" applyFont="1" applyFill="1" applyBorder="1" applyAlignment="1">
      <alignment horizontal="left" vertical="top" wrapText="1" indent="3"/>
    </xf>
    <xf numFmtId="0" fontId="9" fillId="0" borderId="10" xfId="0" applyFont="1" applyFill="1" applyBorder="1" applyAlignment="1">
      <alignment horizontal="right" vertical="top" wrapText="1"/>
    </xf>
    <xf numFmtId="0" fontId="0" fillId="0" borderId="10" xfId="0" applyFill="1" applyBorder="1" applyAlignment="1">
      <alignment horizontal="left" wrapText="1"/>
    </xf>
    <xf numFmtId="0" fontId="9" fillId="0" borderId="10" xfId="0" applyFont="1" applyFill="1" applyBorder="1" applyAlignment="1">
      <alignment horizontal="left" vertical="top" wrapText="1"/>
    </xf>
    <xf numFmtId="2" fontId="10" fillId="0" borderId="10" xfId="0" applyNumberFormat="1" applyFont="1" applyFill="1" applyBorder="1" applyAlignment="1">
      <alignment horizontal="right" vertical="top" shrinkToFit="1"/>
    </xf>
    <xf numFmtId="1" fontId="11" fillId="0" borderId="10" xfId="0" applyNumberFormat="1" applyFont="1" applyFill="1" applyBorder="1" applyAlignment="1">
      <alignment horizontal="right" vertical="top" shrinkToFit="1"/>
    </xf>
    <xf numFmtId="2" fontId="12" fillId="0" borderId="8" xfId="0" applyNumberFormat="1" applyFont="1" applyFill="1" applyBorder="1" applyAlignment="1">
      <alignment horizontal="right" vertical="top" shrinkToFit="1"/>
    </xf>
    <xf numFmtId="1" fontId="10" fillId="0" borderId="10" xfId="0" applyNumberFormat="1" applyFont="1" applyFill="1" applyBorder="1" applyAlignment="1">
      <alignment horizontal="right" vertical="top" shrinkToFit="1"/>
    </xf>
    <xf numFmtId="2" fontId="13" fillId="0" borderId="8" xfId="0" applyNumberFormat="1" applyFont="1" applyFill="1" applyBorder="1" applyAlignment="1">
      <alignment horizontal="right" vertical="top" shrinkToFit="1"/>
    </xf>
    <xf numFmtId="1" fontId="14" fillId="0" borderId="10" xfId="0" applyNumberFormat="1" applyFont="1" applyFill="1" applyBorder="1" applyAlignment="1">
      <alignment horizontal="right" vertical="top" shrinkToFit="1"/>
    </xf>
    <xf numFmtId="0" fontId="0" fillId="0" borderId="8" xfId="0" applyFill="1" applyBorder="1" applyAlignment="1">
      <alignment horizontal="left" wrapText="1"/>
    </xf>
    <xf numFmtId="0" fontId="1" fillId="0" borderId="5" xfId="0" applyFont="1" applyFill="1" applyBorder="1" applyAlignment="1">
      <alignment horizontal="center" vertical="top" wrapText="1"/>
    </xf>
    <xf numFmtId="0" fontId="1" fillId="0" borderId="6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horizontal="left" vertical="top" wrapText="1"/>
    </xf>
    <xf numFmtId="0" fontId="3" fillId="0" borderId="7" xfId="0" applyFont="1" applyFill="1" applyBorder="1" applyAlignment="1">
      <alignment horizontal="left" vertical="top" wrapText="1"/>
    </xf>
    <xf numFmtId="0" fontId="3" fillId="0" borderId="6" xfId="0" applyFont="1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center" vertical="top" wrapText="1"/>
    </xf>
    <xf numFmtId="0" fontId="4" fillId="0" borderId="6" xfId="0" applyFont="1" applyFill="1" applyBorder="1" applyAlignment="1">
      <alignment horizontal="center" vertical="top" wrapText="1"/>
    </xf>
    <xf numFmtId="1" fontId="5" fillId="0" borderId="5" xfId="0" applyNumberFormat="1" applyFont="1" applyFill="1" applyBorder="1" applyAlignment="1">
      <alignment horizontal="left" vertical="top" shrinkToFit="1"/>
    </xf>
    <xf numFmtId="1" fontId="5" fillId="0" borderId="7" xfId="0" applyNumberFormat="1" applyFont="1" applyFill="1" applyBorder="1" applyAlignment="1">
      <alignment horizontal="left" vertical="top" shrinkToFit="1"/>
    </xf>
    <xf numFmtId="1" fontId="5" fillId="0" borderId="6" xfId="0" applyNumberFormat="1" applyFont="1" applyFill="1" applyBorder="1" applyAlignment="1">
      <alignment horizontal="left" vertical="top" shrinkToFit="1"/>
    </xf>
    <xf numFmtId="0" fontId="0" fillId="0" borderId="0" xfId="0" applyFill="1" applyBorder="1" applyAlignment="1">
      <alignment horizontal="center" vertical="top"/>
    </xf>
    <xf numFmtId="0" fontId="27" fillId="0" borderId="1" xfId="0" applyFont="1" applyFill="1" applyBorder="1" applyAlignment="1">
      <alignment horizontal="center" vertical="center" wrapText="1"/>
    </xf>
    <xf numFmtId="0" fontId="27" fillId="0" borderId="2" xfId="0" applyFont="1" applyFill="1" applyBorder="1" applyAlignment="1">
      <alignment horizontal="center" vertical="center" wrapText="1"/>
    </xf>
    <xf numFmtId="0" fontId="27" fillId="0" borderId="3" xfId="0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horizontal="center" vertical="center" wrapText="1"/>
    </xf>
    <xf numFmtId="0" fontId="27" fillId="0" borderId="11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right" vertical="top" wrapText="1"/>
    </xf>
    <xf numFmtId="0" fontId="0" fillId="0" borderId="0" xfId="0" applyFill="1" applyBorder="1" applyAlignment="1">
      <alignment horizontal="right" vertical="top" wrapText="1"/>
    </xf>
    <xf numFmtId="1" fontId="16" fillId="0" borderId="10" xfId="0" applyNumberFormat="1" applyFont="1" applyFill="1" applyBorder="1" applyAlignment="1">
      <alignment horizontal="right" vertical="top" wrapText="1"/>
    </xf>
    <xf numFmtId="0" fontId="17" fillId="0" borderId="4" xfId="0" applyFont="1" applyFill="1" applyBorder="1" applyAlignment="1">
      <alignment horizontal="left" vertical="top" wrapText="1"/>
    </xf>
    <xf numFmtId="0" fontId="28" fillId="0" borderId="0" xfId="0" applyFont="1" applyFill="1" applyBorder="1" applyAlignment="1">
      <alignment horizontal="left" vertical="top"/>
    </xf>
    <xf numFmtId="0" fontId="25" fillId="0" borderId="10" xfId="0" applyFont="1" applyFill="1" applyBorder="1" applyAlignment="1">
      <alignment horizontal="left" vertical="top" wrapText="1"/>
    </xf>
    <xf numFmtId="0" fontId="6" fillId="0" borderId="7" xfId="0" applyFont="1" applyFill="1" applyBorder="1" applyAlignment="1">
      <alignment horizontal="center" vertical="top" wrapText="1"/>
    </xf>
    <xf numFmtId="0" fontId="6" fillId="0" borderId="6" xfId="0" applyFont="1" applyFill="1" applyBorder="1" applyAlignment="1">
      <alignment horizontal="center" vertical="top" wrapText="1"/>
    </xf>
    <xf numFmtId="1" fontId="15" fillId="0" borderId="9" xfId="0" applyNumberFormat="1" applyFont="1" applyFill="1" applyBorder="1" applyAlignment="1">
      <alignment horizontal="center" vertical="top" shrinkToFit="1"/>
    </xf>
    <xf numFmtId="0" fontId="22" fillId="0" borderId="5" xfId="0" applyFont="1" applyFill="1" applyBorder="1" applyAlignment="1">
      <alignment horizontal="center" vertical="top" wrapText="1"/>
    </xf>
    <xf numFmtId="0" fontId="22" fillId="0" borderId="0" xfId="0" applyFont="1" applyFill="1" applyBorder="1" applyAlignment="1">
      <alignment horizontal="center" vertical="top"/>
    </xf>
    <xf numFmtId="1" fontId="22" fillId="0" borderId="8" xfId="0" applyNumberFormat="1" applyFont="1" applyFill="1" applyBorder="1" applyAlignment="1">
      <alignment horizontal="center" vertical="top" shrinkToFit="1"/>
    </xf>
    <xf numFmtId="2" fontId="17" fillId="0" borderId="4" xfId="0" applyNumberFormat="1" applyFont="1" applyFill="1" applyBorder="1" applyAlignment="1">
      <alignment horizontal="left" vertical="top" wrapText="1"/>
    </xf>
    <xf numFmtId="2" fontId="28" fillId="0" borderId="0" xfId="0" applyNumberFormat="1" applyFont="1" applyFill="1" applyBorder="1" applyAlignment="1">
      <alignment horizontal="left" vertical="top"/>
    </xf>
    <xf numFmtId="2" fontId="25" fillId="0" borderId="10" xfId="0" applyNumberFormat="1" applyFont="1" applyFill="1" applyBorder="1" applyAlignment="1">
      <alignment horizontal="left" vertical="top" wrapText="1"/>
    </xf>
    <xf numFmtId="0" fontId="29" fillId="0" borderId="0" xfId="0" applyFont="1" applyFill="1" applyBorder="1" applyAlignment="1">
      <alignment horizontal="left" vertical="top"/>
    </xf>
    <xf numFmtId="0" fontId="3" fillId="0" borderId="13" xfId="0" applyFont="1" applyFill="1" applyBorder="1" applyAlignment="1">
      <alignment horizontal="center" vertical="top" wrapText="1"/>
    </xf>
    <xf numFmtId="0" fontId="3" fillId="0" borderId="14" xfId="0" applyFont="1" applyFill="1" applyBorder="1" applyAlignment="1">
      <alignment horizontal="center" vertical="top" wrapText="1"/>
    </xf>
    <xf numFmtId="0" fontId="3" fillId="0" borderId="15" xfId="0" applyFont="1" applyFill="1" applyBorder="1" applyAlignment="1">
      <alignment horizontal="center" vertical="top" wrapText="1"/>
    </xf>
    <xf numFmtId="2" fontId="24" fillId="0" borderId="12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1600201</xdr:colOff>
      <xdr:row>0</xdr:row>
      <xdr:rowOff>54430</xdr:rowOff>
    </xdr:from>
    <xdr:ext cx="14303828" cy="2743200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2884715" y="54430"/>
          <a:ext cx="14303828" cy="2743200"/>
          <a:chOff x="0" y="0"/>
          <a:chExt cx="10693400" cy="1983105"/>
        </a:xfrm>
      </xdr:grpSpPr>
      <xdr:pic>
        <xdr:nvPicPr>
          <xdr:cNvPr id="3" name="image1.png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0693400" cy="1982483"/>
          </a:xfrm>
          <a:prstGeom prst="rect">
            <a:avLst/>
          </a:prstGeom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 txBox="1"/>
        </xdr:nvSpPr>
        <xdr:spPr>
          <a:xfrm>
            <a:off x="0" y="0"/>
            <a:ext cx="10693400" cy="198310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700" b="0" spc="-5">
                <a:latin typeface="Trebuchet MS"/>
                <a:cs typeface="Trebuchet MS"/>
              </a:rPr>
              <a:t>INDEN</a:t>
            </a:r>
            <a:r>
              <a:rPr sz="3700" b="0" spc="0">
                <a:latin typeface="Trebuchet MS"/>
                <a:cs typeface="Trebuchet MS"/>
              </a:rPr>
              <a:t>T</a:t>
            </a:r>
            <a:r>
              <a:rPr sz="3700" b="0" spc="-155">
                <a:latin typeface="Trebuchet MS"/>
                <a:cs typeface="Trebuchet MS"/>
              </a:rPr>
              <a:t> </a:t>
            </a:r>
            <a:r>
              <a:rPr sz="3700" b="0" spc="-5">
                <a:latin typeface="Trebuchet MS"/>
                <a:cs typeface="Trebuchet MS"/>
              </a:rPr>
              <a:t>O</a:t>
            </a:r>
            <a:r>
              <a:rPr sz="3700" b="0" spc="0">
                <a:latin typeface="Trebuchet MS"/>
                <a:cs typeface="Trebuchet MS"/>
              </a:rPr>
              <a:t>F</a:t>
            </a:r>
            <a:r>
              <a:rPr sz="3700" b="0" spc="-155">
                <a:latin typeface="Trebuchet MS"/>
                <a:cs typeface="Trebuchet MS"/>
              </a:rPr>
              <a:t> </a:t>
            </a:r>
            <a:r>
              <a:rPr sz="3700" b="0" spc="-5">
                <a:latin typeface="Trebuchet MS"/>
                <a:cs typeface="Trebuchet MS"/>
              </a:rPr>
              <a:t>HOMOEOPATHI</a:t>
            </a:r>
            <a:r>
              <a:rPr sz="3700" b="0" spc="0">
                <a:latin typeface="Trebuchet MS"/>
                <a:cs typeface="Trebuchet MS"/>
              </a:rPr>
              <a:t>C</a:t>
            </a:r>
            <a:r>
              <a:rPr sz="3700" b="0" spc="235">
                <a:latin typeface="Trebuchet MS"/>
                <a:cs typeface="Trebuchet MS"/>
              </a:rPr>
              <a:t> </a:t>
            </a:r>
            <a:r>
              <a:rPr sz="3700" b="0" spc="-5">
                <a:latin typeface="Trebuchet MS"/>
                <a:cs typeface="Trebuchet MS"/>
              </a:rPr>
              <a:t>MEDICINES</a:t>
            </a:r>
          </a:p>
          <a:p>
            <a:r>
              <a:rPr sz="2550" b="0" spc="-5">
                <a:latin typeface="Trebuchet MS"/>
                <a:cs typeface="Trebuchet MS"/>
              </a:rPr>
              <a:t>Nam</a:t>
            </a:r>
            <a:r>
              <a:rPr sz="2550" b="0" spc="0">
                <a:latin typeface="Trebuchet MS"/>
                <a:cs typeface="Trebuchet MS"/>
              </a:rPr>
              <a:t>e </a:t>
            </a:r>
            <a:r>
              <a:rPr sz="2550" b="0" spc="-5">
                <a:latin typeface="Trebuchet MS"/>
                <a:cs typeface="Trebuchet MS"/>
              </a:rPr>
              <a:t>o</a:t>
            </a:r>
            <a:r>
              <a:rPr sz="2550" b="0" spc="0">
                <a:latin typeface="Trebuchet MS"/>
                <a:cs typeface="Trebuchet MS"/>
              </a:rPr>
              <a:t>f</a:t>
            </a:r>
            <a:r>
              <a:rPr sz="2550" b="0" spc="-400">
                <a:latin typeface="Trebuchet MS"/>
                <a:cs typeface="Trebuchet MS"/>
              </a:rPr>
              <a:t> </a:t>
            </a:r>
            <a:r>
              <a:rPr sz="2550" b="0" spc="-5">
                <a:latin typeface="Trebuchet MS"/>
                <a:cs typeface="Trebuchet MS"/>
              </a:rPr>
              <a:t>Dispens</a:t>
            </a:r>
            <a:r>
              <a:rPr sz="2550" b="0" spc="0">
                <a:latin typeface="Trebuchet MS"/>
                <a:cs typeface="Trebuchet MS"/>
              </a:rPr>
              <a:t>a                </a:t>
            </a:r>
            <a:r>
              <a:rPr sz="2550" b="0" spc="130">
                <a:latin typeface="Trebuchet MS"/>
                <a:cs typeface="Trebuchet MS"/>
              </a:rPr>
              <a:t> </a:t>
            </a:r>
            <a:r>
              <a:rPr sz="2550" b="0" spc="-5">
                <a:latin typeface="Trebuchet MS"/>
                <a:cs typeface="Trebuchet MS"/>
              </a:rPr>
              <a:t>Governmen</a:t>
            </a:r>
            <a:r>
              <a:rPr sz="2550" b="0" spc="0">
                <a:latin typeface="Trebuchet MS"/>
                <a:cs typeface="Trebuchet MS"/>
              </a:rPr>
              <a:t>t</a:t>
            </a:r>
            <a:r>
              <a:rPr sz="2550" b="0" spc="254">
                <a:latin typeface="Trebuchet MS"/>
                <a:cs typeface="Trebuchet MS"/>
              </a:rPr>
              <a:t> </a:t>
            </a:r>
            <a:r>
              <a:rPr sz="2550" b="0" spc="-5">
                <a:latin typeface="Trebuchet MS"/>
                <a:cs typeface="Trebuchet MS"/>
              </a:rPr>
              <a:t>Homeopath</a:t>
            </a:r>
            <a:r>
              <a:rPr sz="2550" b="0" spc="0">
                <a:latin typeface="Trebuchet MS"/>
                <a:cs typeface="Trebuchet MS"/>
              </a:rPr>
              <a:t>y</a:t>
            </a:r>
            <a:r>
              <a:rPr sz="2550" b="0" spc="140">
                <a:latin typeface="Trebuchet MS"/>
                <a:cs typeface="Trebuchet MS"/>
              </a:rPr>
              <a:t> </a:t>
            </a:r>
            <a:r>
              <a:rPr sz="2550" b="0" spc="-5">
                <a:latin typeface="Trebuchet MS"/>
                <a:cs typeface="Trebuchet MS"/>
              </a:rPr>
              <a:t>Hospital</a:t>
            </a:r>
          </a:p>
          <a:p>
            <a:r>
              <a:rPr sz="1700" b="0" spc="-5">
                <a:latin typeface="Trebuchet MS"/>
                <a:cs typeface="Trebuchet MS"/>
              </a:rPr>
              <a:t>Address</a:t>
            </a:r>
            <a:r>
              <a:rPr sz="1700" b="0" spc="0">
                <a:latin typeface="Trebuchet MS"/>
                <a:cs typeface="Trebuchet MS"/>
              </a:rPr>
              <a:t>-                             </a:t>
            </a:r>
            <a:r>
              <a:rPr sz="1700" b="0" spc="-20">
                <a:latin typeface="Trebuchet MS"/>
                <a:cs typeface="Trebuchet MS"/>
              </a:rPr>
              <a:t> </a:t>
            </a:r>
            <a:r>
              <a:rPr sz="1700" b="0" spc="-5">
                <a:latin typeface="Trebuchet MS"/>
                <a:cs typeface="Trebuchet MS"/>
              </a:rPr>
              <a:t>Al-Majivan</a:t>
            </a:r>
            <a:r>
              <a:rPr sz="1700" b="0" spc="0">
                <a:latin typeface="Trebuchet MS"/>
                <a:cs typeface="Trebuchet MS"/>
              </a:rPr>
              <a:t>a</a:t>
            </a:r>
            <a:r>
              <a:rPr sz="1700" b="0" spc="-80">
                <a:latin typeface="Trebuchet MS"/>
                <a:cs typeface="Trebuchet MS"/>
              </a:rPr>
              <a:t> </a:t>
            </a:r>
            <a:r>
              <a:rPr sz="1700" b="0" spc="0">
                <a:solidFill>
                  <a:srgbClr val="00003A"/>
                </a:solidFill>
                <a:latin typeface="Trebuchet MS"/>
                <a:cs typeface="Trebuchet MS"/>
              </a:rPr>
              <a:t>,</a:t>
            </a:r>
            <a:r>
              <a:rPr sz="1700" b="0" spc="-95">
                <a:solidFill>
                  <a:srgbClr val="00003A"/>
                </a:solidFill>
                <a:latin typeface="Trebuchet MS"/>
                <a:cs typeface="Trebuchet MS"/>
              </a:rPr>
              <a:t> </a:t>
            </a:r>
            <a:r>
              <a:rPr sz="1700" b="0" spc="-5">
                <a:solidFill>
                  <a:srgbClr val="000000"/>
                </a:solidFill>
                <a:latin typeface="Trebuchet MS"/>
                <a:cs typeface="Trebuchet MS"/>
              </a:rPr>
              <a:t>Ta</a:t>
            </a:r>
            <a:r>
              <a:rPr sz="1700" b="0" spc="0">
                <a:solidFill>
                  <a:srgbClr val="000000"/>
                </a:solidFill>
                <a:latin typeface="Trebuchet MS"/>
                <a:cs typeface="Trebuchet MS"/>
              </a:rPr>
              <a:t>-</a:t>
            </a:r>
            <a:r>
              <a:rPr sz="1700" b="0" spc="-250">
                <a:solidFill>
                  <a:srgbClr val="000000"/>
                </a:solidFill>
                <a:latin typeface="Trebuchet MS"/>
                <a:cs typeface="Trebuchet MS"/>
              </a:rPr>
              <a:t> </a:t>
            </a:r>
            <a:r>
              <a:rPr sz="1700" b="0" spc="-5">
                <a:solidFill>
                  <a:srgbClr val="000000"/>
                </a:solidFill>
                <a:latin typeface="Trebuchet MS"/>
                <a:cs typeface="Trebuchet MS"/>
              </a:rPr>
              <a:t>Porbandar</a:t>
            </a:r>
            <a:r>
              <a:rPr sz="1700" b="0" spc="0">
                <a:solidFill>
                  <a:srgbClr val="000000"/>
                </a:solidFill>
                <a:latin typeface="Trebuchet MS"/>
                <a:cs typeface="Trebuchet MS"/>
              </a:rPr>
              <a:t>,</a:t>
            </a:r>
            <a:r>
              <a:rPr sz="1700" b="0" spc="30">
                <a:solidFill>
                  <a:srgbClr val="000000"/>
                </a:solidFill>
                <a:latin typeface="Trebuchet MS"/>
                <a:cs typeface="Trebuchet MS"/>
              </a:rPr>
              <a:t> </a:t>
            </a:r>
            <a:r>
              <a:rPr sz="1700" b="0" spc="-5">
                <a:solidFill>
                  <a:srgbClr val="000000"/>
                </a:solidFill>
                <a:latin typeface="Trebuchet MS"/>
                <a:cs typeface="Trebuchet MS"/>
              </a:rPr>
              <a:t>Dist</a:t>
            </a:r>
            <a:r>
              <a:rPr sz="1700" b="0" spc="0">
                <a:solidFill>
                  <a:srgbClr val="000000"/>
                </a:solidFill>
                <a:latin typeface="Trebuchet MS"/>
                <a:cs typeface="Trebuchet MS"/>
              </a:rPr>
              <a:t>-</a:t>
            </a:r>
            <a:r>
              <a:rPr sz="1700" b="0" spc="-270">
                <a:solidFill>
                  <a:srgbClr val="000000"/>
                </a:solidFill>
                <a:latin typeface="Trebuchet MS"/>
                <a:cs typeface="Trebuchet MS"/>
              </a:rPr>
              <a:t> </a:t>
            </a:r>
            <a:r>
              <a:rPr sz="1700" b="0" spc="-5">
                <a:solidFill>
                  <a:srgbClr val="000000"/>
                </a:solidFill>
                <a:latin typeface="Trebuchet MS"/>
                <a:cs typeface="Trebuchet MS"/>
              </a:rPr>
              <a:t>Porbandar Corrtac</a:t>
            </a:r>
            <a:r>
              <a:rPr sz="1700" b="0" spc="0">
                <a:solidFill>
                  <a:srgbClr val="000000"/>
                </a:solidFill>
                <a:latin typeface="Trebuchet MS"/>
                <a:cs typeface="Trebuchet MS"/>
              </a:rPr>
              <a:t>l </a:t>
            </a:r>
            <a:r>
              <a:rPr sz="1700" b="0" spc="-5">
                <a:solidFill>
                  <a:srgbClr val="000000"/>
                </a:solidFill>
                <a:latin typeface="Trebuchet MS"/>
                <a:cs typeface="Trebuchet MS"/>
              </a:rPr>
              <a:t>Persort-</a:t>
            </a:r>
          </a:p>
          <a:p>
            <a:r>
              <a:rPr sz="1750" b="0" spc="-5">
                <a:latin typeface="Trebuchet MS"/>
                <a:cs typeface="Trebuchet MS"/>
              </a:rPr>
              <a:t>9426915851</a:t>
            </a:r>
          </a:p>
        </xdr:txBody>
      </xdr:sp>
    </xdr:grpSp>
    <xdr:clientData/>
  </xdr:oneCellAnchor>
  <xdr:oneCellAnchor>
    <xdr:from>
      <xdr:col>0</xdr:col>
      <xdr:colOff>884608</xdr:colOff>
      <xdr:row>10</xdr:row>
      <xdr:rowOff>76595</xdr:rowOff>
    </xdr:from>
    <xdr:ext cx="90112" cy="150188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112" cy="150188"/>
        </a:xfrm>
        <a:prstGeom prst="rect">
          <a:avLst/>
        </a:prstGeom>
      </xdr:spPr>
    </xdr:pic>
    <xdr:clientData/>
  </xdr:oneCellAnchor>
  <xdr:oneCellAnchor>
    <xdr:from>
      <xdr:col>5</xdr:col>
      <xdr:colOff>2732201</xdr:colOff>
      <xdr:row>2</xdr:row>
      <xdr:rowOff>0</xdr:rowOff>
    </xdr:from>
    <xdr:ext cx="15018" cy="285357"/>
    <xdr:pic>
      <xdr:nvPicPr>
        <xdr:cNvPr id="6" name="image3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018" cy="28535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4157226</xdr:colOff>
      <xdr:row>1</xdr:row>
      <xdr:rowOff>522096</xdr:rowOff>
    </xdr:from>
    <xdr:ext cx="0" cy="16986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0" y="0"/>
          <a:ext cx="0" cy="1698625"/>
        </a:xfrm>
        <a:custGeom>
          <a:avLst/>
          <a:gdLst/>
          <a:ahLst/>
          <a:cxnLst/>
          <a:rect l="0" t="0" r="0" b="0"/>
          <a:pathLst>
            <a:path h="1698625">
              <a:moveTo>
                <a:pt x="0" y="1698440"/>
              </a:moveTo>
              <a:lnTo>
                <a:pt x="0" y="0"/>
              </a:lnTo>
            </a:path>
          </a:pathLst>
        </a:custGeom>
        <a:ln w="25519">
          <a:solidFill>
            <a:srgbClr val="000000"/>
          </a:solidFill>
        </a:ln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1093511</xdr:colOff>
      <xdr:row>1</xdr:row>
      <xdr:rowOff>161300</xdr:rowOff>
    </xdr:from>
    <xdr:ext cx="680510" cy="155950"/>
    <xdr:pic>
      <xdr:nvPicPr>
        <xdr:cNvPr id="8" name="image4.png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80510" cy="155950"/>
        </a:xfrm>
        <a:prstGeom prst="rect">
          <a:avLst/>
        </a:prstGeom>
      </xdr:spPr>
    </xdr:pic>
    <xdr:clientData/>
  </xdr:oneCellAnchor>
  <xdr:oneCellAnchor>
    <xdr:from>
      <xdr:col>0</xdr:col>
      <xdr:colOff>1405412</xdr:colOff>
      <xdr:row>1</xdr:row>
      <xdr:rowOff>870166</xdr:rowOff>
    </xdr:from>
    <xdr:ext cx="70886" cy="155950"/>
    <xdr:pic>
      <xdr:nvPicPr>
        <xdr:cNvPr id="9" name="image5.png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0886" cy="155950"/>
        </a:xfrm>
        <a:prstGeom prst="rect">
          <a:avLst/>
        </a:prstGeom>
      </xdr:spPr>
    </xdr:pic>
    <xdr:clientData/>
  </xdr:oneCellAnchor>
  <xdr:oneCellAnchor>
    <xdr:from>
      <xdr:col>1</xdr:col>
      <xdr:colOff>1243623</xdr:colOff>
      <xdr:row>1</xdr:row>
      <xdr:rowOff>1437258</xdr:rowOff>
    </xdr:from>
    <xdr:ext cx="1715453" cy="283545"/>
    <xdr:pic>
      <xdr:nvPicPr>
        <xdr:cNvPr id="10" name="image6.png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15453" cy="283545"/>
        </a:xfrm>
        <a:prstGeom prst="rect">
          <a:avLst/>
        </a:prstGeom>
      </xdr:spPr>
    </xdr:pic>
    <xdr:clientData/>
  </xdr:oneCellAnchor>
  <xdr:oneCellAnchor>
    <xdr:from>
      <xdr:col>1</xdr:col>
      <xdr:colOff>520306</xdr:colOff>
      <xdr:row>1</xdr:row>
      <xdr:rowOff>870165</xdr:rowOff>
    </xdr:from>
    <xdr:ext cx="737219" cy="184304"/>
    <xdr:pic>
      <xdr:nvPicPr>
        <xdr:cNvPr id="11" name="image7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37219" cy="184304"/>
        </a:xfrm>
        <a:prstGeom prst="rect">
          <a:avLst/>
        </a:prstGeom>
      </xdr:spPr>
    </xdr:pic>
    <xdr:clientData/>
  </xdr:oneCellAnchor>
  <xdr:oneCellAnchor>
    <xdr:from>
      <xdr:col>1</xdr:col>
      <xdr:colOff>279292</xdr:colOff>
      <xdr:row>1</xdr:row>
      <xdr:rowOff>1437258</xdr:rowOff>
    </xdr:from>
    <xdr:ext cx="893170" cy="396964"/>
    <xdr:pic>
      <xdr:nvPicPr>
        <xdr:cNvPr id="12" name="image8.png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93170" cy="396964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2526836</xdr:colOff>
      <xdr:row>1</xdr:row>
      <xdr:rowOff>0</xdr:rowOff>
    </xdr:from>
    <xdr:ext cx="0" cy="466153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0" y="0"/>
          <a:ext cx="0" cy="4661535"/>
        </a:xfrm>
        <a:custGeom>
          <a:avLst/>
          <a:gdLst/>
          <a:ahLst/>
          <a:cxnLst/>
          <a:rect l="0" t="0" r="0" b="0"/>
          <a:pathLst>
            <a:path h="4661535">
              <a:moveTo>
                <a:pt x="0" y="4661496"/>
              </a:moveTo>
              <a:lnTo>
                <a:pt x="0" y="0"/>
              </a:lnTo>
            </a:path>
          </a:pathLst>
        </a:custGeom>
        <a:ln w="25519">
          <a:solidFill>
            <a:srgbClr val="000000"/>
          </a:solidFill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0" cy="4661535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0" y="0"/>
          <a:ext cx="0" cy="4661535"/>
        </a:xfrm>
        <a:custGeom>
          <a:avLst/>
          <a:gdLst/>
          <a:ahLst/>
          <a:cxnLst/>
          <a:rect l="0" t="0" r="0" b="0"/>
          <a:pathLst>
            <a:path h="4661535">
              <a:moveTo>
                <a:pt x="0" y="4661496"/>
              </a:moveTo>
              <a:lnTo>
                <a:pt x="0" y="0"/>
              </a:lnTo>
            </a:path>
          </a:pathLst>
        </a:custGeom>
        <a:ln w="25519">
          <a:solidFill>
            <a:srgbClr val="000000"/>
          </a:solidFill>
        </a:ln>
      </xdr:spPr>
    </xdr:sp>
    <xdr:clientData/>
  </xdr:oneCellAnchor>
  <xdr:oneCellAnchor>
    <xdr:from>
      <xdr:col>0</xdr:col>
      <xdr:colOff>4949738</xdr:colOff>
      <xdr:row>1</xdr:row>
      <xdr:rowOff>2852701</xdr:rowOff>
    </xdr:from>
    <xdr:ext cx="215900" cy="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0" y="0"/>
          <a:ext cx="215900" cy="0"/>
        </a:xfrm>
        <a:custGeom>
          <a:avLst/>
          <a:gdLst/>
          <a:ahLst/>
          <a:cxnLst/>
          <a:rect l="0" t="0" r="0" b="0"/>
          <a:pathLst>
            <a:path w="215900">
              <a:moveTo>
                <a:pt x="0" y="0"/>
              </a:moveTo>
              <a:lnTo>
                <a:pt x="215494" y="0"/>
              </a:lnTo>
            </a:path>
          </a:pathLst>
        </a:custGeom>
        <a:ln w="31190">
          <a:solidFill>
            <a:srgbClr val="0F1323"/>
          </a:solidFill>
        </a:ln>
      </xdr:spPr>
    </xdr:sp>
    <xdr:clientData/>
  </xdr:oneCellAnchor>
  <xdr:oneCellAnchor>
    <xdr:from>
      <xdr:col>0</xdr:col>
      <xdr:colOff>3900618</xdr:colOff>
      <xdr:row>1</xdr:row>
      <xdr:rowOff>1081957</xdr:rowOff>
    </xdr:from>
    <xdr:ext cx="85063" cy="241014"/>
    <xdr:pic>
      <xdr:nvPicPr>
        <xdr:cNvPr id="16" name="image9.png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063" cy="241014"/>
        </a:xfrm>
        <a:prstGeom prst="rect">
          <a:avLst/>
        </a:prstGeom>
      </xdr:spPr>
    </xdr:pic>
    <xdr:clientData/>
  </xdr:oneCellAnchor>
  <xdr:oneCellAnchor>
    <xdr:from>
      <xdr:col>0</xdr:col>
      <xdr:colOff>4637838</xdr:colOff>
      <xdr:row>1</xdr:row>
      <xdr:rowOff>1081957</xdr:rowOff>
    </xdr:from>
    <xdr:ext cx="85063" cy="241014"/>
    <xdr:pic>
      <xdr:nvPicPr>
        <xdr:cNvPr id="17" name="image10.png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063" cy="241014"/>
        </a:xfrm>
        <a:prstGeom prst="rect">
          <a:avLst/>
        </a:prstGeom>
      </xdr:spPr>
    </xdr:pic>
    <xdr:clientData/>
  </xdr:oneCellAnchor>
  <xdr:oneCellAnchor>
    <xdr:from>
      <xdr:col>1</xdr:col>
      <xdr:colOff>279292</xdr:colOff>
      <xdr:row>1</xdr:row>
      <xdr:rowOff>0</xdr:rowOff>
    </xdr:from>
    <xdr:ext cx="893170" cy="396964"/>
    <xdr:pic>
      <xdr:nvPicPr>
        <xdr:cNvPr id="18" name="image11.png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93170" cy="396964"/>
        </a:xfrm>
        <a:prstGeom prst="rect">
          <a:avLst/>
        </a:prstGeom>
      </xdr:spPr>
    </xdr:pic>
    <xdr:clientData/>
  </xdr:oneCellAnchor>
  <xdr:oneCellAnchor>
    <xdr:from>
      <xdr:col>1</xdr:col>
      <xdr:colOff>307646</xdr:colOff>
      <xdr:row>1</xdr:row>
      <xdr:rowOff>514865</xdr:rowOff>
    </xdr:from>
    <xdr:ext cx="864815" cy="396964"/>
    <xdr:pic>
      <xdr:nvPicPr>
        <xdr:cNvPr id="19" name="image12.png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4815" cy="396964"/>
        </a:xfrm>
        <a:prstGeom prst="rect">
          <a:avLst/>
        </a:prstGeom>
      </xdr:spPr>
    </xdr:pic>
    <xdr:clientData/>
  </xdr:oneCellAnchor>
  <xdr:oneCellAnchor>
    <xdr:from>
      <xdr:col>1</xdr:col>
      <xdr:colOff>1243347</xdr:colOff>
      <xdr:row>1</xdr:row>
      <xdr:rowOff>0</xdr:rowOff>
    </xdr:from>
    <xdr:ext cx="1715453" cy="283545"/>
    <xdr:pic>
      <xdr:nvPicPr>
        <xdr:cNvPr id="20" name="image13.png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15453" cy="28354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zoomScale="70" zoomScaleNormal="70" workbookViewId="0">
      <selection activeCell="A27" sqref="A27"/>
    </sheetView>
  </sheetViews>
  <sheetFormatPr defaultRowHeight="13.2" x14ac:dyDescent="0.25"/>
  <cols>
    <col min="1" max="1" width="17.77734375" customWidth="1"/>
    <col min="2" max="2" width="58.44140625" customWidth="1"/>
    <col min="3" max="3" width="17.109375" customWidth="1"/>
    <col min="4" max="4" width="18" customWidth="1"/>
    <col min="5" max="5" width="17" customWidth="1"/>
    <col min="6" max="6" width="13.21875" customWidth="1"/>
  </cols>
  <sheetData>
    <row r="1" spans="1:6" ht="22.5" customHeight="1" x14ac:dyDescent="0.25"/>
    <row r="2" spans="1:6" ht="48" customHeight="1" x14ac:dyDescent="0.25">
      <c r="A2" s="34" t="s">
        <v>47</v>
      </c>
      <c r="B2" s="35"/>
      <c r="C2" s="35"/>
      <c r="D2" s="35"/>
      <c r="E2" s="35"/>
      <c r="F2" s="36"/>
    </row>
    <row r="3" spans="1:6" ht="35.25" customHeight="1" x14ac:dyDescent="0.25">
      <c r="A3" s="20" t="s">
        <v>0</v>
      </c>
      <c r="B3" s="21"/>
      <c r="C3" s="22" t="s">
        <v>1</v>
      </c>
      <c r="D3" s="23"/>
      <c r="E3" s="23"/>
      <c r="F3" s="24"/>
    </row>
    <row r="4" spans="1:6" ht="26.25" customHeight="1" x14ac:dyDescent="0.25">
      <c r="A4" s="20" t="s">
        <v>2</v>
      </c>
      <c r="B4" s="21"/>
      <c r="C4" s="25" t="s">
        <v>3</v>
      </c>
      <c r="D4" s="26"/>
      <c r="E4" s="26"/>
      <c r="F4" s="27"/>
    </row>
    <row r="5" spans="1:6" ht="25.05" customHeight="1" x14ac:dyDescent="0.25">
      <c r="A5" s="28" t="s">
        <v>4</v>
      </c>
      <c r="B5" s="29"/>
      <c r="C5" s="25" t="s">
        <v>5</v>
      </c>
      <c r="D5" s="26"/>
      <c r="E5" s="26"/>
      <c r="F5" s="27"/>
    </row>
    <row r="6" spans="1:6" ht="24" customHeight="1" x14ac:dyDescent="0.25">
      <c r="A6" s="20" t="s">
        <v>6</v>
      </c>
      <c r="B6" s="21"/>
      <c r="C6" s="30">
        <v>9426915851</v>
      </c>
      <c r="D6" s="31"/>
      <c r="E6" s="31"/>
      <c r="F6" s="32"/>
    </row>
    <row r="7" spans="1:6" ht="25.05" customHeight="1" x14ac:dyDescent="0.25">
      <c r="A7" s="48" t="s">
        <v>43</v>
      </c>
      <c r="B7" s="45"/>
      <c r="C7" s="45"/>
      <c r="D7" s="45"/>
      <c r="E7" s="45"/>
      <c r="F7" s="46"/>
    </row>
    <row r="8" spans="1:6" ht="24" customHeight="1" x14ac:dyDescent="0.25">
      <c r="A8" s="39" t="s">
        <v>7</v>
      </c>
      <c r="B8" s="2" t="s">
        <v>8</v>
      </c>
      <c r="C8" s="2" t="s">
        <v>9</v>
      </c>
      <c r="D8" s="2" t="s">
        <v>10</v>
      </c>
      <c r="E8" s="3" t="s">
        <v>11</v>
      </c>
      <c r="F8" s="1" t="s">
        <v>12</v>
      </c>
    </row>
    <row r="9" spans="1:6" ht="24" customHeight="1" x14ac:dyDescent="0.25">
      <c r="A9" s="2">
        <v>1</v>
      </c>
      <c r="B9" s="42" t="s">
        <v>31</v>
      </c>
      <c r="C9" s="42" t="s">
        <v>40</v>
      </c>
      <c r="D9" s="51">
        <v>24.6</v>
      </c>
      <c r="E9" s="42">
        <v>24</v>
      </c>
      <c r="F9" s="4">
        <f>SUM(D9*E9)</f>
        <v>590.40000000000009</v>
      </c>
    </row>
    <row r="10" spans="1:6" ht="24" customHeight="1" x14ac:dyDescent="0.25">
      <c r="A10" s="2">
        <v>2</v>
      </c>
      <c r="B10" s="42" t="s">
        <v>26</v>
      </c>
      <c r="C10" s="42" t="s">
        <v>40</v>
      </c>
      <c r="D10" s="51">
        <v>24.6</v>
      </c>
      <c r="E10" s="42">
        <v>60</v>
      </c>
      <c r="F10" s="4">
        <f t="shared" ref="F10:F17" si="0">SUM(D10*E10)</f>
        <v>1476</v>
      </c>
    </row>
    <row r="11" spans="1:6" ht="24" customHeight="1" x14ac:dyDescent="0.25">
      <c r="A11" s="2">
        <v>5</v>
      </c>
      <c r="B11" s="42" t="s">
        <v>27</v>
      </c>
      <c r="C11" s="42" t="s">
        <v>40</v>
      </c>
      <c r="D11" s="51">
        <v>24.6</v>
      </c>
      <c r="E11" s="42">
        <v>60</v>
      </c>
      <c r="F11" s="4">
        <f t="shared" si="0"/>
        <v>1476</v>
      </c>
    </row>
    <row r="12" spans="1:6" ht="24" customHeight="1" x14ac:dyDescent="0.25">
      <c r="A12" s="2">
        <v>4</v>
      </c>
      <c r="B12" s="42" t="s">
        <v>32</v>
      </c>
      <c r="C12" s="42" t="s">
        <v>40</v>
      </c>
      <c r="D12" s="51">
        <v>24.6</v>
      </c>
      <c r="E12" s="42">
        <v>60</v>
      </c>
      <c r="F12" s="4">
        <f t="shared" si="0"/>
        <v>1476</v>
      </c>
    </row>
    <row r="13" spans="1:6" ht="24" customHeight="1" x14ac:dyDescent="0.25">
      <c r="A13" s="2">
        <v>5</v>
      </c>
      <c r="B13" s="42" t="s">
        <v>33</v>
      </c>
      <c r="C13" s="42" t="s">
        <v>40</v>
      </c>
      <c r="D13" s="51">
        <v>24.6</v>
      </c>
      <c r="E13" s="42">
        <v>12</v>
      </c>
      <c r="F13" s="4">
        <f t="shared" si="0"/>
        <v>295.20000000000005</v>
      </c>
    </row>
    <row r="14" spans="1:6" ht="24" customHeight="1" x14ac:dyDescent="0.25">
      <c r="A14" s="2">
        <v>6</v>
      </c>
      <c r="B14" s="42" t="s">
        <v>34</v>
      </c>
      <c r="C14" s="42" t="s">
        <v>40</v>
      </c>
      <c r="D14" s="51">
        <v>24.6</v>
      </c>
      <c r="E14" s="42">
        <v>12</v>
      </c>
      <c r="F14" s="4">
        <f t="shared" si="0"/>
        <v>295.20000000000005</v>
      </c>
    </row>
    <row r="15" spans="1:6" ht="24" customHeight="1" x14ac:dyDescent="0.25">
      <c r="A15" s="2">
        <v>7</v>
      </c>
      <c r="B15" s="42" t="s">
        <v>30</v>
      </c>
      <c r="C15" s="42" t="s">
        <v>40</v>
      </c>
      <c r="D15" s="51">
        <v>24.6</v>
      </c>
      <c r="E15" s="42">
        <v>36</v>
      </c>
      <c r="F15" s="4">
        <f t="shared" si="0"/>
        <v>885.6</v>
      </c>
    </row>
    <row r="16" spans="1:6" ht="24" customHeight="1" x14ac:dyDescent="0.25">
      <c r="A16" s="2">
        <v>8</v>
      </c>
      <c r="B16" s="42" t="s">
        <v>29</v>
      </c>
      <c r="C16" s="42" t="s">
        <v>40</v>
      </c>
      <c r="D16" s="51">
        <v>24.6</v>
      </c>
      <c r="E16" s="42">
        <v>36</v>
      </c>
      <c r="F16" s="4">
        <f t="shared" si="0"/>
        <v>885.6</v>
      </c>
    </row>
    <row r="17" spans="1:6" ht="25.5" customHeight="1" x14ac:dyDescent="0.25">
      <c r="A17" s="2">
        <v>9</v>
      </c>
      <c r="B17" s="42" t="s">
        <v>45</v>
      </c>
      <c r="C17" s="42" t="s">
        <v>40</v>
      </c>
      <c r="D17" s="51">
        <v>24.6</v>
      </c>
      <c r="E17" s="42">
        <v>60</v>
      </c>
      <c r="F17" s="4">
        <f t="shared" si="0"/>
        <v>1476</v>
      </c>
    </row>
    <row r="18" spans="1:6" ht="23.25" customHeight="1" x14ac:dyDescent="0.25">
      <c r="A18" s="55" t="s">
        <v>13</v>
      </c>
      <c r="B18" s="56"/>
      <c r="C18" s="56"/>
      <c r="D18" s="56"/>
      <c r="E18" s="57"/>
      <c r="F18" s="58">
        <f>SUM(F9:F17)</f>
        <v>8856</v>
      </c>
    </row>
  </sheetData>
  <mergeCells count="11">
    <mergeCell ref="A18:E18"/>
    <mergeCell ref="A2:F2"/>
    <mergeCell ref="A7:F7"/>
    <mergeCell ref="A4:B4"/>
    <mergeCell ref="C4:F4"/>
    <mergeCell ref="A5:B5"/>
    <mergeCell ref="C5:F5"/>
    <mergeCell ref="A6:B6"/>
    <mergeCell ref="C6:F6"/>
    <mergeCell ref="A3:B3"/>
    <mergeCell ref="C3:F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"/>
  <sheetViews>
    <sheetView zoomScale="70" zoomScaleNormal="70" workbookViewId="0">
      <selection activeCell="A4" sqref="A4"/>
    </sheetView>
  </sheetViews>
  <sheetFormatPr defaultRowHeight="13.2" x14ac:dyDescent="0.25"/>
  <cols>
    <col min="1" max="1" width="18.6640625" customWidth="1"/>
    <col min="2" max="2" width="67.109375" customWidth="1"/>
    <col min="3" max="4" width="19.109375" customWidth="1"/>
    <col min="5" max="5" width="21.109375" customWidth="1"/>
    <col min="6" max="6" width="50.21875" customWidth="1"/>
  </cols>
  <sheetData>
    <row r="1" spans="1:6" ht="157.05000000000001" customHeight="1" x14ac:dyDescent="0.25"/>
    <row r="2" spans="1:6" ht="27.3" customHeight="1" x14ac:dyDescent="0.25">
      <c r="A2" s="38" t="s">
        <v>25</v>
      </c>
      <c r="B2" s="38"/>
      <c r="C2" s="38"/>
      <c r="D2" s="38"/>
      <c r="E2" s="38"/>
      <c r="F2" s="38"/>
    </row>
    <row r="3" spans="1:6" ht="24.75" customHeight="1" x14ac:dyDescent="0.25">
      <c r="A3" s="6" t="s">
        <v>14</v>
      </c>
      <c r="B3" s="7" t="s">
        <v>15</v>
      </c>
      <c r="C3" s="8" t="s">
        <v>16</v>
      </c>
      <c r="D3" s="9" t="s">
        <v>17</v>
      </c>
      <c r="E3" s="10" t="s">
        <v>18</v>
      </c>
      <c r="F3" s="5" t="s">
        <v>19</v>
      </c>
    </row>
    <row r="4" spans="1:6" ht="26.25" customHeight="1" x14ac:dyDescent="0.25">
      <c r="A4" s="11"/>
      <c r="B4" s="12" t="s">
        <v>20</v>
      </c>
      <c r="C4" s="12" t="s">
        <v>21</v>
      </c>
      <c r="D4" s="13">
        <v>206.64</v>
      </c>
      <c r="E4" s="14">
        <v>2</v>
      </c>
      <c r="F4" s="15">
        <v>413.28</v>
      </c>
    </row>
    <row r="5" spans="1:6" ht="25.5" customHeight="1" x14ac:dyDescent="0.25">
      <c r="A5" s="16">
        <v>2</v>
      </c>
      <c r="B5" s="12" t="s">
        <v>22</v>
      </c>
      <c r="C5" s="12" t="s">
        <v>21</v>
      </c>
      <c r="D5" s="13">
        <v>206.64</v>
      </c>
      <c r="E5" s="11"/>
      <c r="F5" s="17">
        <v>206.64</v>
      </c>
    </row>
    <row r="6" spans="1:6" ht="24.75" customHeight="1" x14ac:dyDescent="0.25">
      <c r="A6" s="18">
        <v>5</v>
      </c>
      <c r="B6" s="12" t="s">
        <v>23</v>
      </c>
      <c r="C6" s="12" t="s">
        <v>21</v>
      </c>
      <c r="D6" s="13">
        <v>206.64</v>
      </c>
      <c r="E6" s="14">
        <v>2</v>
      </c>
      <c r="F6" s="15">
        <v>413.28</v>
      </c>
    </row>
    <row r="7" spans="1:6" ht="26.25" customHeight="1" x14ac:dyDescent="0.25">
      <c r="A7" s="50" t="s">
        <v>44</v>
      </c>
      <c r="B7" s="47"/>
      <c r="C7" s="47"/>
      <c r="D7" s="47"/>
      <c r="E7" s="47"/>
      <c r="F7" s="47"/>
    </row>
    <row r="8" spans="1:6" ht="24.75" customHeight="1" x14ac:dyDescent="0.25">
      <c r="A8" s="41">
        <v>5</v>
      </c>
      <c r="B8" s="12" t="s">
        <v>24</v>
      </c>
      <c r="C8" s="12" t="s">
        <v>21</v>
      </c>
      <c r="D8" s="13">
        <v>206.64</v>
      </c>
      <c r="E8" s="14">
        <v>2</v>
      </c>
      <c r="F8" s="15">
        <v>413.28</v>
      </c>
    </row>
    <row r="9" spans="1:6" ht="26.25" customHeight="1" x14ac:dyDescent="0.25">
      <c r="A9" s="12">
        <v>6</v>
      </c>
      <c r="B9" s="44" t="s">
        <v>35</v>
      </c>
      <c r="C9" s="44" t="s">
        <v>41</v>
      </c>
      <c r="D9" s="53">
        <v>24.6</v>
      </c>
      <c r="E9" s="44"/>
      <c r="F9" s="19">
        <f>SUM(D9*E9)</f>
        <v>0</v>
      </c>
    </row>
    <row r="10" spans="1:6" ht="24.75" customHeight="1" x14ac:dyDescent="0.25">
      <c r="A10" s="12">
        <v>7</v>
      </c>
      <c r="B10" s="44" t="s">
        <v>26</v>
      </c>
      <c r="C10" s="44" t="s">
        <v>41</v>
      </c>
      <c r="D10" s="53">
        <v>24.6</v>
      </c>
      <c r="E10" s="44">
        <v>2</v>
      </c>
      <c r="F10" s="19">
        <f t="shared" ref="F10:F17" si="0">SUM(D10*E10)</f>
        <v>49.2</v>
      </c>
    </row>
    <row r="11" spans="1:6" ht="26.25" customHeight="1" x14ac:dyDescent="0.25">
      <c r="A11" s="12"/>
      <c r="B11" s="44" t="s">
        <v>28</v>
      </c>
      <c r="C11" s="44" t="s">
        <v>41</v>
      </c>
      <c r="D11" s="53">
        <v>24.6</v>
      </c>
      <c r="E11" s="44"/>
      <c r="F11" s="19">
        <f t="shared" si="0"/>
        <v>0</v>
      </c>
    </row>
    <row r="12" spans="1:6" ht="24.75" customHeight="1" x14ac:dyDescent="0.25">
      <c r="A12" s="12">
        <v>9</v>
      </c>
      <c r="B12" s="44" t="s">
        <v>36</v>
      </c>
      <c r="C12" s="44" t="s">
        <v>41</v>
      </c>
      <c r="D12" s="53">
        <v>24.6</v>
      </c>
      <c r="E12" s="44">
        <v>60</v>
      </c>
      <c r="F12" s="19">
        <f t="shared" si="0"/>
        <v>1476</v>
      </c>
    </row>
    <row r="13" spans="1:6" ht="26.25" customHeight="1" x14ac:dyDescent="0.25">
      <c r="A13" s="12">
        <v>10</v>
      </c>
      <c r="B13" s="44" t="s">
        <v>39</v>
      </c>
      <c r="C13" s="44" t="s">
        <v>41</v>
      </c>
      <c r="D13" s="53">
        <v>24.6</v>
      </c>
      <c r="E13" s="44"/>
      <c r="F13" s="19">
        <f t="shared" si="0"/>
        <v>0</v>
      </c>
    </row>
    <row r="14" spans="1:6" ht="26.25" customHeight="1" x14ac:dyDescent="0.25">
      <c r="A14" s="12">
        <v>11</v>
      </c>
      <c r="B14" s="44" t="s">
        <v>37</v>
      </c>
      <c r="C14" s="44" t="s">
        <v>42</v>
      </c>
      <c r="D14" s="53">
        <v>24.6</v>
      </c>
      <c r="E14" s="44"/>
      <c r="F14" s="19">
        <f t="shared" si="0"/>
        <v>0</v>
      </c>
    </row>
    <row r="15" spans="1:6" ht="24.75" customHeight="1" x14ac:dyDescent="0.25">
      <c r="A15" s="12" t="s">
        <v>19</v>
      </c>
      <c r="B15" s="44"/>
      <c r="C15" s="44"/>
      <c r="D15" s="53">
        <v>24.6</v>
      </c>
      <c r="E15" s="44">
        <v>36</v>
      </c>
      <c r="F15" s="19">
        <f t="shared" si="0"/>
        <v>885.6</v>
      </c>
    </row>
    <row r="16" spans="1:6" ht="22.8" x14ac:dyDescent="0.25">
      <c r="A16" s="12"/>
      <c r="B16" s="44" t="s">
        <v>38</v>
      </c>
      <c r="C16" s="44"/>
      <c r="D16" s="53">
        <v>24.6</v>
      </c>
      <c r="E16" s="44">
        <v>36</v>
      </c>
      <c r="F16" s="19">
        <f t="shared" si="0"/>
        <v>885.6</v>
      </c>
    </row>
    <row r="17" spans="1:6" ht="22.8" x14ac:dyDescent="0.25">
      <c r="A17" s="12"/>
      <c r="B17" s="44" t="s">
        <v>45</v>
      </c>
      <c r="C17" s="44"/>
      <c r="D17" s="53">
        <v>24.6</v>
      </c>
      <c r="E17" s="44"/>
      <c r="F17" s="19">
        <f t="shared" si="0"/>
        <v>0</v>
      </c>
    </row>
    <row r="18" spans="1:6" x14ac:dyDescent="0.25">
      <c r="A18" s="54" t="s">
        <v>46</v>
      </c>
      <c r="F18">
        <f>SUM(F9:F17)</f>
        <v>3296.4</v>
      </c>
    </row>
    <row r="27" spans="1:6" x14ac:dyDescent="0.25">
      <c r="A27" t="s">
        <v>25</v>
      </c>
    </row>
  </sheetData>
  <mergeCells count="2">
    <mergeCell ref="A2:F2"/>
    <mergeCell ref="A7:F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"/>
  <sheetViews>
    <sheetView topLeftCell="A3" zoomScaleNormal="100" workbookViewId="0">
      <selection activeCell="A18" sqref="A18:E18"/>
    </sheetView>
  </sheetViews>
  <sheetFormatPr defaultRowHeight="13.2" x14ac:dyDescent="0.25"/>
  <cols>
    <col min="1" max="1" width="196.44140625" customWidth="1"/>
  </cols>
  <sheetData>
    <row r="1" spans="1:6" ht="165.45" customHeight="1" x14ac:dyDescent="0.25"/>
    <row r="2" spans="1:6" ht="43.2" x14ac:dyDescent="0.25">
      <c r="A2" s="37" t="s">
        <v>25</v>
      </c>
      <c r="B2" s="37"/>
      <c r="C2" s="37"/>
      <c r="D2" s="37"/>
      <c r="E2" s="37"/>
      <c r="F2" s="37"/>
    </row>
    <row r="7" spans="1:6" ht="22.8" x14ac:dyDescent="0.25">
      <c r="A7" s="49" t="s">
        <v>44</v>
      </c>
      <c r="B7" s="33"/>
      <c r="C7" s="33"/>
      <c r="D7" s="33"/>
      <c r="E7" s="33"/>
      <c r="F7" s="33"/>
    </row>
    <row r="8" spans="1:6" x14ac:dyDescent="0.25">
      <c r="A8" s="40"/>
    </row>
    <row r="9" spans="1:6" ht="21" x14ac:dyDescent="0.25">
      <c r="B9" s="43" t="s">
        <v>35</v>
      </c>
      <c r="C9" s="43"/>
      <c r="D9" s="52">
        <v>24.6</v>
      </c>
      <c r="E9" s="43"/>
      <c r="F9">
        <f>SUM(D9*E9)</f>
        <v>0</v>
      </c>
    </row>
    <row r="10" spans="1:6" ht="21" x14ac:dyDescent="0.25">
      <c r="B10" s="43" t="s">
        <v>26</v>
      </c>
      <c r="C10" s="43"/>
      <c r="D10" s="52">
        <v>24.6</v>
      </c>
      <c r="E10" s="43"/>
      <c r="F10">
        <f t="shared" ref="F10:F17" si="0">SUM(D10*E10)</f>
        <v>0</v>
      </c>
    </row>
    <row r="11" spans="1:6" ht="21" x14ac:dyDescent="0.25">
      <c r="B11" s="43" t="s">
        <v>28</v>
      </c>
      <c r="C11" s="43"/>
      <c r="D11" s="52">
        <v>24.6</v>
      </c>
      <c r="E11" s="43"/>
      <c r="F11">
        <f t="shared" si="0"/>
        <v>0</v>
      </c>
    </row>
    <row r="12" spans="1:6" ht="21" x14ac:dyDescent="0.25">
      <c r="B12" s="43" t="s">
        <v>36</v>
      </c>
      <c r="C12" s="43"/>
      <c r="D12" s="52">
        <v>24.6</v>
      </c>
      <c r="E12" s="43">
        <v>60</v>
      </c>
      <c r="F12">
        <f t="shared" si="0"/>
        <v>1476</v>
      </c>
    </row>
    <row r="13" spans="1:6" x14ac:dyDescent="0.25">
      <c r="B13" s="43"/>
      <c r="C13" s="43"/>
      <c r="D13" s="52">
        <v>24.6</v>
      </c>
      <c r="E13" s="43"/>
      <c r="F13">
        <f t="shared" si="0"/>
        <v>0</v>
      </c>
    </row>
    <row r="14" spans="1:6" ht="20.399999999999999" x14ac:dyDescent="0.25">
      <c r="B14" s="43" t="s">
        <v>37</v>
      </c>
      <c r="C14" s="43"/>
      <c r="D14" s="52">
        <v>24.6</v>
      </c>
      <c r="E14" s="43"/>
      <c r="F14">
        <f t="shared" si="0"/>
        <v>0</v>
      </c>
    </row>
    <row r="15" spans="1:6" x14ac:dyDescent="0.25">
      <c r="B15" s="43"/>
      <c r="C15" s="43"/>
      <c r="D15" s="52">
        <v>24.6</v>
      </c>
      <c r="E15" s="43">
        <v>36</v>
      </c>
      <c r="F15">
        <f t="shared" si="0"/>
        <v>885.6</v>
      </c>
    </row>
    <row r="16" spans="1:6" ht="21" x14ac:dyDescent="0.25">
      <c r="B16" s="43" t="s">
        <v>38</v>
      </c>
      <c r="C16" s="43"/>
      <c r="D16" s="52">
        <v>24.6</v>
      </c>
      <c r="E16" s="43">
        <v>36</v>
      </c>
      <c r="F16">
        <f t="shared" si="0"/>
        <v>885.6</v>
      </c>
    </row>
    <row r="17" spans="1:6" ht="21" x14ac:dyDescent="0.25">
      <c r="B17" s="43" t="s">
        <v>45</v>
      </c>
      <c r="C17" s="43"/>
      <c r="D17" s="52">
        <v>24.6</v>
      </c>
      <c r="E17" s="43"/>
      <c r="F17">
        <f t="shared" si="0"/>
        <v>0</v>
      </c>
    </row>
    <row r="18" spans="1:6" x14ac:dyDescent="0.25">
      <c r="F18">
        <f>SUM(F9:F17)</f>
        <v>3247.2</v>
      </c>
    </row>
    <row r="27" spans="1:6" x14ac:dyDescent="0.25">
      <c r="A27" t="s">
        <v>25</v>
      </c>
    </row>
  </sheetData>
  <mergeCells count="2">
    <mergeCell ref="A2:F2"/>
    <mergeCell ref="A7:F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7"/>
  <sheetViews>
    <sheetView topLeftCell="A3" zoomScaleNormal="100" workbookViewId="0">
      <selection activeCell="A18" sqref="A18:E18"/>
    </sheetView>
  </sheetViews>
  <sheetFormatPr defaultRowHeight="13.2" x14ac:dyDescent="0.25"/>
  <cols>
    <col min="1" max="1" width="129.77734375" customWidth="1"/>
    <col min="2" max="2" width="27.33203125" customWidth="1"/>
    <col min="3" max="3" width="38.88671875" customWidth="1"/>
  </cols>
  <sheetData>
    <row r="1" spans="1:6" ht="151.5" customHeight="1" x14ac:dyDescent="0.25"/>
    <row r="2" spans="1:6" ht="60" customHeight="1" x14ac:dyDescent="0.25">
      <c r="A2" s="37" t="s">
        <v>25</v>
      </c>
      <c r="B2" s="37"/>
      <c r="C2" s="37"/>
      <c r="D2" s="37"/>
      <c r="E2" s="37"/>
      <c r="F2" s="37"/>
    </row>
    <row r="7" spans="1:6" ht="22.8" x14ac:dyDescent="0.25">
      <c r="A7" s="49" t="s">
        <v>44</v>
      </c>
      <c r="B7" s="33"/>
      <c r="C7" s="33"/>
      <c r="D7" s="33"/>
      <c r="E7" s="33"/>
      <c r="F7" s="33"/>
    </row>
    <row r="8" spans="1:6" x14ac:dyDescent="0.25">
      <c r="A8" s="40"/>
    </row>
    <row r="9" spans="1:6" ht="21" x14ac:dyDescent="0.25">
      <c r="B9" s="43" t="s">
        <v>35</v>
      </c>
      <c r="C9" s="43"/>
      <c r="D9" s="52">
        <v>24.6</v>
      </c>
      <c r="E9" s="43"/>
      <c r="F9">
        <f>SUM(D9*E9)</f>
        <v>0</v>
      </c>
    </row>
    <row r="10" spans="1:6" ht="21" x14ac:dyDescent="0.25">
      <c r="B10" s="43" t="s">
        <v>26</v>
      </c>
      <c r="C10" s="43"/>
      <c r="D10" s="52">
        <v>24.6</v>
      </c>
      <c r="E10" s="43"/>
      <c r="F10">
        <f t="shared" ref="F10:F17" si="0">SUM(D10*E10)</f>
        <v>0</v>
      </c>
    </row>
    <row r="11" spans="1:6" ht="21" x14ac:dyDescent="0.25">
      <c r="B11" s="43" t="s">
        <v>28</v>
      </c>
      <c r="C11" s="43"/>
      <c r="D11" s="52">
        <v>24.6</v>
      </c>
      <c r="E11" s="43"/>
      <c r="F11">
        <f t="shared" si="0"/>
        <v>0</v>
      </c>
    </row>
    <row r="12" spans="1:6" ht="21" x14ac:dyDescent="0.25">
      <c r="B12" s="43" t="s">
        <v>36</v>
      </c>
      <c r="C12" s="43"/>
      <c r="D12" s="52">
        <v>24.6</v>
      </c>
      <c r="E12" s="43">
        <v>60</v>
      </c>
      <c r="F12">
        <f t="shared" si="0"/>
        <v>1476</v>
      </c>
    </row>
    <row r="13" spans="1:6" x14ac:dyDescent="0.25">
      <c r="B13" s="43"/>
      <c r="C13" s="43"/>
      <c r="D13" s="52">
        <v>24.6</v>
      </c>
      <c r="E13" s="43"/>
      <c r="F13">
        <f t="shared" si="0"/>
        <v>0</v>
      </c>
    </row>
    <row r="14" spans="1:6" ht="20.399999999999999" x14ac:dyDescent="0.25">
      <c r="B14" s="43" t="s">
        <v>37</v>
      </c>
      <c r="C14" s="43"/>
      <c r="D14" s="52">
        <v>24.6</v>
      </c>
      <c r="E14" s="43"/>
      <c r="F14">
        <f t="shared" si="0"/>
        <v>0</v>
      </c>
    </row>
    <row r="15" spans="1:6" x14ac:dyDescent="0.25">
      <c r="B15" s="43"/>
      <c r="C15" s="43"/>
      <c r="D15" s="52">
        <v>24.6</v>
      </c>
      <c r="E15" s="43">
        <v>36</v>
      </c>
      <c r="F15">
        <f t="shared" si="0"/>
        <v>885.6</v>
      </c>
    </row>
    <row r="16" spans="1:6" ht="21" x14ac:dyDescent="0.25">
      <c r="B16" s="43" t="s">
        <v>38</v>
      </c>
      <c r="C16" s="43"/>
      <c r="D16" s="52">
        <v>24.6</v>
      </c>
      <c r="E16" s="43">
        <v>36</v>
      </c>
      <c r="F16">
        <f t="shared" si="0"/>
        <v>885.6</v>
      </c>
    </row>
    <row r="17" spans="1:6" ht="21" x14ac:dyDescent="0.25">
      <c r="B17" s="43" t="s">
        <v>45</v>
      </c>
      <c r="C17" s="43"/>
      <c r="D17" s="52">
        <v>24.6</v>
      </c>
      <c r="E17" s="43"/>
      <c r="F17">
        <f t="shared" si="0"/>
        <v>0</v>
      </c>
    </row>
    <row r="18" spans="1:6" x14ac:dyDescent="0.25">
      <c r="F18">
        <f>SUM(F9:F17)</f>
        <v>3247.2</v>
      </c>
    </row>
    <row r="27" spans="1:6" x14ac:dyDescent="0.25">
      <c r="A27" t="s">
        <v>25</v>
      </c>
    </row>
  </sheetData>
  <mergeCells count="2">
    <mergeCell ref="A2:F2"/>
    <mergeCell ref="A7:F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7"/>
  <sheetViews>
    <sheetView topLeftCell="A3" zoomScaleNormal="100" workbookViewId="0">
      <selection activeCell="A18" sqref="A18:E18"/>
    </sheetView>
  </sheetViews>
  <sheetFormatPr defaultRowHeight="13.2" x14ac:dyDescent="0.25"/>
  <cols>
    <col min="1" max="1" width="129.77734375" customWidth="1"/>
    <col min="2" max="2" width="66.44140625" customWidth="1"/>
  </cols>
  <sheetData>
    <row r="1" spans="1:6" ht="259.5" customHeight="1" x14ac:dyDescent="0.25"/>
    <row r="2" spans="1:6" ht="93.6" customHeight="1" x14ac:dyDescent="0.25">
      <c r="A2" s="37" t="s">
        <v>25</v>
      </c>
      <c r="B2" s="37"/>
      <c r="C2" s="37"/>
      <c r="D2" s="37"/>
      <c r="E2" s="37"/>
      <c r="F2" s="37"/>
    </row>
    <row r="7" spans="1:6" ht="22.8" x14ac:dyDescent="0.25">
      <c r="A7" s="49" t="s">
        <v>44</v>
      </c>
      <c r="B7" s="33"/>
      <c r="C7" s="33"/>
      <c r="D7" s="33"/>
      <c r="E7" s="33"/>
      <c r="F7" s="33"/>
    </row>
    <row r="8" spans="1:6" x14ac:dyDescent="0.25">
      <c r="A8" s="40"/>
    </row>
    <row r="9" spans="1:6" ht="21" x14ac:dyDescent="0.25">
      <c r="B9" s="43" t="s">
        <v>35</v>
      </c>
      <c r="C9" s="43"/>
      <c r="D9" s="52">
        <v>24.6</v>
      </c>
      <c r="E9" s="43"/>
      <c r="F9">
        <f>SUM(D9*E9)</f>
        <v>0</v>
      </c>
    </row>
    <row r="10" spans="1:6" ht="21" x14ac:dyDescent="0.25">
      <c r="B10" s="43" t="s">
        <v>26</v>
      </c>
      <c r="C10" s="43"/>
      <c r="D10" s="52">
        <v>24.6</v>
      </c>
      <c r="E10" s="43"/>
      <c r="F10">
        <f t="shared" ref="F10:F17" si="0">SUM(D10*E10)</f>
        <v>0</v>
      </c>
    </row>
    <row r="11" spans="1:6" ht="21" x14ac:dyDescent="0.25">
      <c r="B11" s="43" t="s">
        <v>28</v>
      </c>
      <c r="C11" s="43"/>
      <c r="D11" s="52">
        <v>24.6</v>
      </c>
      <c r="E11" s="43"/>
      <c r="F11">
        <f t="shared" si="0"/>
        <v>0</v>
      </c>
    </row>
    <row r="12" spans="1:6" ht="21" x14ac:dyDescent="0.25">
      <c r="B12" s="43" t="s">
        <v>36</v>
      </c>
      <c r="C12" s="43"/>
      <c r="D12" s="52">
        <v>24.6</v>
      </c>
      <c r="E12" s="43">
        <v>60</v>
      </c>
      <c r="F12">
        <f t="shared" si="0"/>
        <v>1476</v>
      </c>
    </row>
    <row r="13" spans="1:6" x14ac:dyDescent="0.25">
      <c r="B13" s="43"/>
      <c r="C13" s="43"/>
      <c r="D13" s="52">
        <v>24.6</v>
      </c>
      <c r="E13" s="43"/>
      <c r="F13">
        <f t="shared" si="0"/>
        <v>0</v>
      </c>
    </row>
    <row r="14" spans="1:6" ht="20.399999999999999" x14ac:dyDescent="0.25">
      <c r="B14" s="43" t="s">
        <v>37</v>
      </c>
      <c r="C14" s="43"/>
      <c r="D14" s="52">
        <v>24.6</v>
      </c>
      <c r="E14" s="43"/>
      <c r="F14">
        <f t="shared" si="0"/>
        <v>0</v>
      </c>
    </row>
    <row r="15" spans="1:6" x14ac:dyDescent="0.25">
      <c r="B15" s="43"/>
      <c r="C15" s="43"/>
      <c r="D15" s="52">
        <v>24.6</v>
      </c>
      <c r="E15" s="43">
        <v>36</v>
      </c>
      <c r="F15">
        <f t="shared" si="0"/>
        <v>885.6</v>
      </c>
    </row>
    <row r="16" spans="1:6" ht="21" x14ac:dyDescent="0.25">
      <c r="B16" s="43" t="s">
        <v>38</v>
      </c>
      <c r="C16" s="43"/>
      <c r="D16" s="52">
        <v>24.6</v>
      </c>
      <c r="E16" s="43">
        <v>36</v>
      </c>
      <c r="F16">
        <f t="shared" si="0"/>
        <v>885.6</v>
      </c>
    </row>
    <row r="17" spans="1:6" ht="21" x14ac:dyDescent="0.25">
      <c r="B17" s="43" t="s">
        <v>45</v>
      </c>
      <c r="C17" s="43"/>
      <c r="D17" s="52">
        <v>24.6</v>
      </c>
      <c r="E17" s="43"/>
      <c r="F17">
        <f t="shared" si="0"/>
        <v>0</v>
      </c>
    </row>
    <row r="18" spans="1:6" x14ac:dyDescent="0.25">
      <c r="F18">
        <f>SUM(F9:F17)</f>
        <v>3247.2</v>
      </c>
    </row>
    <row r="27" spans="1:6" x14ac:dyDescent="0.25">
      <c r="A27" t="s">
        <v>25</v>
      </c>
    </row>
  </sheetData>
  <mergeCells count="2">
    <mergeCell ref="A2:F2"/>
    <mergeCell ref="A7:F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</vt:lpstr>
      <vt:lpstr>Table 2</vt:lpstr>
      <vt:lpstr>Table 3</vt:lpstr>
      <vt:lpstr>Table 4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Avo Avo</cp:lastModifiedBy>
  <cp:lastPrinted>2022-07-31T16:55:46Z</cp:lastPrinted>
  <dcterms:created xsi:type="dcterms:W3CDTF">2022-07-31T15:53:52Z</dcterms:created>
  <dcterms:modified xsi:type="dcterms:W3CDTF">2022-07-31T16:55:53Z</dcterms:modified>
</cp:coreProperties>
</file>