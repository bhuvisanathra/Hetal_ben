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Hetal Ben\"/>
    </mc:Choice>
  </mc:AlternateContent>
  <xr:revisionPtr revIDLastSave="0" documentId="13_ncr:1_{B11254B9-8A25-4423-8D8C-2420C1AD94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LUTIONS LIST-6,30,200,1M" sheetId="1" r:id="rId1"/>
    <sheet name="OINTMENTS" sheetId="2" r:id="rId2"/>
    <sheet name="BIOCHEMIC 6X,12X" sheetId="3" r:id="rId3"/>
    <sheet name="Sheet1" sheetId="4" r:id="rId4"/>
  </sheets>
  <definedNames>
    <definedName name="_xlnm.Print_Area" localSheetId="1">OINTMENTS!$A$2:$F$18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" roundtripDataSignature="AMtx7miXEgocLw9dW8+Enmsro50bUWPkng=="/>
    </ext>
  </extLst>
</workbook>
</file>

<file path=xl/calcChain.xml><?xml version="1.0" encoding="utf-8"?>
<calcChain xmlns="http://schemas.openxmlformats.org/spreadsheetml/2006/main">
  <c r="F38" i="2" l="1"/>
  <c r="F37" i="2"/>
  <c r="F36" i="2"/>
  <c r="F35" i="2"/>
  <c r="F34" i="2"/>
  <c r="F33" i="2"/>
  <c r="F32" i="2"/>
  <c r="F31" i="2"/>
  <c r="F30" i="2"/>
  <c r="A30" i="2"/>
  <c r="A31" i="2" s="1"/>
  <c r="A32" i="2" s="1"/>
  <c r="A33" i="2" s="1"/>
  <c r="A34" i="2" s="1"/>
  <c r="A35" i="2" s="1"/>
  <c r="A36" i="2" s="1"/>
  <c r="F29" i="2"/>
  <c r="A29" i="2"/>
  <c r="F28" i="2"/>
  <c r="M80" i="1"/>
  <c r="M69" i="1"/>
  <c r="M68" i="1"/>
  <c r="M70" i="1" s="1"/>
  <c r="G52" i="1"/>
  <c r="G87" i="1"/>
  <c r="F39" i="2" l="1"/>
  <c r="F19" i="3"/>
  <c r="F18" i="3"/>
  <c r="F17" i="3"/>
  <c r="F16" i="3"/>
  <c r="F15" i="3"/>
  <c r="F14" i="3"/>
  <c r="F13" i="3"/>
  <c r="F12" i="3"/>
  <c r="F11" i="3"/>
  <c r="F10" i="3"/>
  <c r="A10" i="3"/>
  <c r="A11" i="3" s="1"/>
  <c r="A12" i="3" s="1"/>
  <c r="A13" i="3" s="1"/>
  <c r="A14" i="3" s="1"/>
  <c r="A15" i="3" s="1"/>
  <c r="A16" i="3" s="1"/>
  <c r="A17" i="3" s="1"/>
  <c r="F9" i="3"/>
  <c r="F17" i="2"/>
  <c r="F16" i="2"/>
  <c r="F15" i="2"/>
  <c r="F14" i="2"/>
  <c r="F13" i="2"/>
  <c r="F12" i="2"/>
  <c r="F11" i="2"/>
  <c r="F10" i="2"/>
  <c r="A10" i="2"/>
  <c r="A11" i="2" s="1"/>
  <c r="A12" i="2" s="1"/>
  <c r="A13" i="2" s="1"/>
  <c r="A14" i="2" s="1"/>
  <c r="A15" i="2" s="1"/>
  <c r="A16" i="2" s="1"/>
  <c r="A17" i="2" s="1"/>
  <c r="F9" i="2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H87" i="1" l="1"/>
  <c r="H52" i="1"/>
  <c r="F20" i="3"/>
  <c r="F18" i="2"/>
</calcChain>
</file>

<file path=xl/sharedStrings.xml><?xml version="1.0" encoding="utf-8"?>
<sst xmlns="http://schemas.openxmlformats.org/spreadsheetml/2006/main" count="314" uniqueCount="128">
  <si>
    <t>INDENT OF HOMOEOPATHIC MEDICINES</t>
  </si>
  <si>
    <t>SR NO</t>
  </si>
  <si>
    <t>ICODE</t>
  </si>
  <si>
    <t>NAME OF ITEAM</t>
  </si>
  <si>
    <t>PACKING</t>
  </si>
  <si>
    <t>RATE</t>
  </si>
  <si>
    <t>QUANTITY</t>
  </si>
  <si>
    <t>TOTAL</t>
  </si>
  <si>
    <t>DILUTION 30 POTENCY</t>
  </si>
  <si>
    <t>100 ML</t>
  </si>
  <si>
    <t>Antimonium crudum</t>
  </si>
  <si>
    <t>Apis melifica</t>
  </si>
  <si>
    <t>Arnica Montana</t>
  </si>
  <si>
    <t>Arsenicum Album</t>
  </si>
  <si>
    <t>Arsenicum Iodatum</t>
  </si>
  <si>
    <t>Baptisia Tinctoria</t>
  </si>
  <si>
    <t>Belladonna</t>
  </si>
  <si>
    <t>Berbaris Vulgaris</t>
  </si>
  <si>
    <t>Borax</t>
  </si>
  <si>
    <t>Carbo vegetalis</t>
  </si>
  <si>
    <t>Calcarea Carbonica</t>
  </si>
  <si>
    <t>Caledula officinalis</t>
  </si>
  <si>
    <t>Cantharis</t>
  </si>
  <si>
    <t>China officinalis</t>
  </si>
  <si>
    <t>Cina</t>
  </si>
  <si>
    <t>Cocculus Indicus</t>
  </si>
  <si>
    <t>Conium macculatum</t>
  </si>
  <si>
    <t>Colocynthis</t>
  </si>
  <si>
    <t>Cuprum Metallicum</t>
  </si>
  <si>
    <t>Eupatorium perfoliatum</t>
  </si>
  <si>
    <t>Gelsemium sempervirenc</t>
  </si>
  <si>
    <t>Graphites</t>
  </si>
  <si>
    <t>Hepar Sulphurium Calcanium</t>
  </si>
  <si>
    <t>Hypericum Perforatum</t>
  </si>
  <si>
    <t>Ipecacuanha</t>
  </si>
  <si>
    <t>Iris versicolor</t>
  </si>
  <si>
    <t>Kali Bromatum</t>
  </si>
  <si>
    <t>Kali Bichromicum</t>
  </si>
  <si>
    <t>Kali Carbonicum</t>
  </si>
  <si>
    <t>Ledum Palustre</t>
  </si>
  <si>
    <t>Lycopodium Clavatum</t>
  </si>
  <si>
    <t>Mercurium Sollubilis</t>
  </si>
  <si>
    <t>Natrum carbonicum</t>
  </si>
  <si>
    <t>Natrum Muriaticum</t>
  </si>
  <si>
    <t>Natrum Sulphuricum</t>
  </si>
  <si>
    <t>Nux Vomica</t>
  </si>
  <si>
    <t>Phosphorus</t>
  </si>
  <si>
    <t>Psorinum</t>
  </si>
  <si>
    <t>Pulsatilla Nigricans</t>
  </si>
  <si>
    <t>Rhus Toxicodendron</t>
  </si>
  <si>
    <t>Sarsaparilla</t>
  </si>
  <si>
    <t>Secale Cornutum</t>
  </si>
  <si>
    <t>Sepia</t>
  </si>
  <si>
    <t>Silicea</t>
  </si>
  <si>
    <t>Spongia Tosta</t>
  </si>
  <si>
    <t>Suphur</t>
  </si>
  <si>
    <t>Tabacum</t>
  </si>
  <si>
    <t xml:space="preserve">DILUTION 200  POTENCY </t>
  </si>
  <si>
    <t xml:space="preserve">NAME OF ITEM </t>
  </si>
  <si>
    <t xml:space="preserve">PACKING </t>
  </si>
  <si>
    <t>Aesculus Hippocastanum</t>
  </si>
  <si>
    <t>Aloe socotrina</t>
  </si>
  <si>
    <t>Bacillinum</t>
  </si>
  <si>
    <t>Carbo Vegetalis</t>
  </si>
  <si>
    <t>Eupatorium Perfotum</t>
  </si>
  <si>
    <t>Hepar sulphuris calcarium</t>
  </si>
  <si>
    <t>Hyocumus Niger</t>
  </si>
  <si>
    <t>Medorrhinum</t>
  </si>
  <si>
    <t>Mercuris Sollubilus</t>
  </si>
  <si>
    <t>Natrum Carbonicum</t>
  </si>
  <si>
    <t>Syphillinum</t>
  </si>
  <si>
    <t>Thuja occidentalis</t>
  </si>
  <si>
    <t>Tuberculinum Bovinum</t>
  </si>
  <si>
    <t xml:space="preserve">TOTAL </t>
  </si>
  <si>
    <t>CREAM &amp; OINTMENT 25 GM</t>
  </si>
  <si>
    <t>AESCULUS HIPP CREAM 25 GMS</t>
  </si>
  <si>
    <t>25 GMS</t>
  </si>
  <si>
    <t>ARNICA OINTMENT  25 GMS</t>
  </si>
  <si>
    <t>BERBERIS AQU CREAM 25 GMS</t>
  </si>
  <si>
    <t>CALENDULA CREAM 25 GMS</t>
  </si>
  <si>
    <t>CANTHARIS CREAM - 25 GMS</t>
  </si>
  <si>
    <t>HAMAMELIS CREAM  25 GMS</t>
  </si>
  <si>
    <t>LEDUM PALUSTRE CREAM 25 GMS</t>
  </si>
  <si>
    <t>PETROLEUM OINTMENT 25 GMS</t>
  </si>
  <si>
    <t>RHUS TOX OINTMENT - 25 GMS</t>
  </si>
  <si>
    <t>Total</t>
  </si>
  <si>
    <t>BIO CHEMIC 6X</t>
  </si>
  <si>
    <t xml:space="preserve">CALCAREA PHOS 6X TAB </t>
  </si>
  <si>
    <t>450 GMS</t>
  </si>
  <si>
    <t xml:space="preserve">CALCAREA SULP 6X TAB </t>
  </si>
  <si>
    <t xml:space="preserve">FERRUM PHOS 6X TAB  </t>
  </si>
  <si>
    <t xml:space="preserve">KALI MURI 6X TAB </t>
  </si>
  <si>
    <t xml:space="preserve">KALI PHOS 6X TAB </t>
  </si>
  <si>
    <t xml:space="preserve">KALI SULP 6X TAB </t>
  </si>
  <si>
    <t xml:space="preserve">MAGNESIUM PHOS 6X TAB </t>
  </si>
  <si>
    <t xml:space="preserve">NATRUM MURI 6X TAB </t>
  </si>
  <si>
    <t xml:space="preserve">NATRUM PHOS 6X TAB  </t>
  </si>
  <si>
    <t xml:space="preserve">NATRUM SULPH 6X TAB </t>
  </si>
  <si>
    <t xml:space="preserve">SILICEA 6X TAB </t>
  </si>
  <si>
    <t>Sr. No.</t>
  </si>
  <si>
    <t>Name of Items</t>
  </si>
  <si>
    <t>Packing</t>
  </si>
  <si>
    <t>Rate (Rs.) inclusive of GST</t>
  </si>
  <si>
    <t>Globules No. 30</t>
  </si>
  <si>
    <t xml:space="preserve">Plastic Philes, ½ drahm </t>
  </si>
  <si>
    <t>Plastic Philes, 1 drahm</t>
  </si>
  <si>
    <t>20*1 gross 144 Nos.</t>
  </si>
  <si>
    <t>2200=00</t>
  </si>
  <si>
    <t>Plastic Philes, 2 drahm</t>
  </si>
  <si>
    <t>10*1 gross 144 Nos.</t>
  </si>
  <si>
    <t>1500=00</t>
  </si>
  <si>
    <t>½ Ounce (15 ml) Plastic Bottle with cap &amp; dropper</t>
  </si>
  <si>
    <t>2*1 gross 144 Nos.</t>
  </si>
  <si>
    <t>720=00</t>
  </si>
  <si>
    <t>½ Ounce  Plastic Bottle (For Biochemic Medicine)</t>
  </si>
  <si>
    <t>20*1 Kg.</t>
  </si>
  <si>
    <t>2000=00</t>
  </si>
  <si>
    <t>30*1 gross 144 Nos.</t>
  </si>
  <si>
    <t>3300=00</t>
  </si>
  <si>
    <t>9720=00</t>
  </si>
  <si>
    <t xml:space="preserve">Name of Dispensary </t>
  </si>
  <si>
    <t>Contact Person-</t>
  </si>
  <si>
    <t xml:space="preserve">Mobile No. </t>
  </si>
  <si>
    <t>Address-</t>
  </si>
  <si>
    <t>Government Homeopathy Hospital</t>
  </si>
  <si>
    <t>NAME OF ITEM</t>
  </si>
  <si>
    <t>Dr. Hetalben Pandya</t>
  </si>
  <si>
    <t>At-Majivana , Ta- Porbandar, Dist- Porbandar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</si>
</sst>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Calibri"/>
    </font>
    <font>
      <b/>
      <sz val="11"/>
      <color theme="1"/>
      <name val="Calibri"/>
    </font>
    <font>
      <sz val="18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b/>
      <sz val="1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Calibri"/>
      <family val="2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2" fillId="3" borderId="2" applyNumberFormat="0" applyAlignment="0" applyProtection="0"/>
  </cellStyleXfs>
  <cellXfs count="87"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Font="1" applyAlignment="1"/>
    <xf numFmtId="0" fontId="0" fillId="0" borderId="3" xfId="0" applyFont="1" applyBorder="1" applyAlignment="1"/>
    <xf numFmtId="0" fontId="1" fillId="0" borderId="3" xfId="0" applyFont="1" applyBorder="1" applyAlignment="1">
      <alignment horizontal="center" vertical="center"/>
    </xf>
    <xf numFmtId="0" fontId="4" fillId="0" borderId="3" xfId="0" applyFont="1" applyBorder="1"/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3" xfId="0" applyFont="1" applyBorder="1"/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0" fillId="0" borderId="0" xfId="0" applyFont="1" applyBorder="1" applyAlignment="1"/>
    <xf numFmtId="0" fontId="15" fillId="0" borderId="0" xfId="0" applyFont="1" applyBorder="1" applyAlignment="1"/>
    <xf numFmtId="0" fontId="13" fillId="0" borderId="0" xfId="0" applyFont="1" applyBorder="1" applyAlignment="1"/>
    <xf numFmtId="0" fontId="1" fillId="0" borderId="7" xfId="0" applyFont="1" applyBorder="1" applyAlignment="1">
      <alignment horizontal="center" vertical="center"/>
    </xf>
    <xf numFmtId="0" fontId="4" fillId="0" borderId="8" xfId="0" applyFont="1" applyBorder="1"/>
    <xf numFmtId="0" fontId="14" fillId="0" borderId="3" xfId="0" applyFont="1" applyBorder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/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14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1" fillId="3" borderId="2" xfId="1" applyFont="1" applyAlignment="1">
      <alignment horizontal="center"/>
    </xf>
    <xf numFmtId="0" fontId="13" fillId="0" borderId="3" xfId="0" applyFont="1" applyBorder="1" applyAlignment="1">
      <alignment horizontal="left"/>
    </xf>
    <xf numFmtId="0" fontId="17" fillId="3" borderId="2" xfId="1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3" borderId="3" xfId="1" applyFont="1" applyBorder="1" applyAlignment="1">
      <alignment horizontal="center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2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xSplit="2" ySplit="7" topLeftCell="C38" activePane="bottomRight" state="frozen"/>
      <selection pane="topRight" activeCell="C1" sqref="C1"/>
      <selection pane="bottomLeft" activeCell="A8" sqref="A8"/>
      <selection pane="bottomRight" activeCell="C3" sqref="C3:H3"/>
    </sheetView>
  </sheetViews>
  <sheetFormatPr defaultColWidth="14.44140625" defaultRowHeight="15" customHeight="1"/>
  <cols>
    <col min="1" max="1" width="6.21875" bestFit="1" customWidth="1"/>
    <col min="2" max="2" width="12.33203125" customWidth="1"/>
    <col min="3" max="3" width="23" customWidth="1"/>
    <col min="4" max="4" width="0.21875" customWidth="1"/>
    <col min="5" max="5" width="8.77734375" bestFit="1" customWidth="1"/>
    <col min="6" max="6" width="6.88671875" customWidth="1"/>
    <col min="7" max="7" width="9.77734375" bestFit="1" customWidth="1"/>
    <col min="8" max="8" width="7" bestFit="1" customWidth="1"/>
    <col min="9" max="12" width="9.109375" customWidth="1"/>
  </cols>
  <sheetData>
    <row r="1" spans="1:12" ht="1.5" customHeight="1">
      <c r="B1" s="46"/>
      <c r="C1" s="47"/>
      <c r="D1" s="47"/>
      <c r="E1" s="47"/>
      <c r="F1" s="47"/>
      <c r="G1" s="1"/>
      <c r="H1" s="1"/>
      <c r="I1" s="1"/>
      <c r="J1" s="1"/>
      <c r="K1" s="1"/>
      <c r="L1" s="1"/>
    </row>
    <row r="2" spans="1:12" ht="31.2" customHeight="1">
      <c r="A2" s="51" t="s">
        <v>0</v>
      </c>
      <c r="B2" s="52"/>
      <c r="C2" s="52"/>
      <c r="D2" s="52"/>
      <c r="E2" s="52"/>
      <c r="F2" s="52"/>
      <c r="G2" s="52"/>
      <c r="H2" s="52"/>
    </row>
    <row r="3" spans="1:12" ht="21">
      <c r="A3" s="50" t="s">
        <v>120</v>
      </c>
      <c r="B3" s="50"/>
      <c r="C3" s="53" t="s">
        <v>124</v>
      </c>
      <c r="D3" s="53"/>
      <c r="E3" s="53"/>
      <c r="F3" s="53"/>
      <c r="G3" s="53"/>
      <c r="H3" s="53"/>
    </row>
    <row r="4" spans="1:12" ht="15.6">
      <c r="A4" s="50" t="s">
        <v>123</v>
      </c>
      <c r="B4" s="50"/>
      <c r="C4" s="55" t="s">
        <v>127</v>
      </c>
      <c r="D4" s="55"/>
      <c r="E4" s="55"/>
      <c r="F4" s="55"/>
      <c r="G4" s="55"/>
      <c r="H4" s="55"/>
    </row>
    <row r="5" spans="1:12" ht="15.6">
      <c r="A5" s="50" t="s">
        <v>121</v>
      </c>
      <c r="B5" s="50"/>
      <c r="C5" s="55" t="s">
        <v>126</v>
      </c>
      <c r="D5" s="55"/>
      <c r="E5" s="55"/>
      <c r="F5" s="55"/>
      <c r="G5" s="55"/>
      <c r="H5" s="55"/>
    </row>
    <row r="6" spans="1:12" ht="15.6">
      <c r="A6" s="50" t="s">
        <v>122</v>
      </c>
      <c r="B6" s="50"/>
      <c r="C6" s="55">
        <v>9426915851</v>
      </c>
      <c r="D6" s="55"/>
      <c r="E6" s="55"/>
      <c r="F6" s="55"/>
      <c r="G6" s="55"/>
      <c r="H6" s="55"/>
    </row>
    <row r="7" spans="1:12" ht="30" customHeight="1" thickBot="1">
      <c r="A7" s="11" t="s">
        <v>1</v>
      </c>
      <c r="B7" s="11" t="s">
        <v>2</v>
      </c>
      <c r="C7" s="17" t="s">
        <v>125</v>
      </c>
      <c r="D7" s="11"/>
      <c r="E7" s="11" t="s">
        <v>4</v>
      </c>
      <c r="F7" s="11" t="s">
        <v>5</v>
      </c>
      <c r="G7" s="11" t="s">
        <v>6</v>
      </c>
      <c r="H7" s="11" t="s">
        <v>7</v>
      </c>
      <c r="I7" s="4"/>
      <c r="J7" s="4"/>
      <c r="K7" s="4"/>
      <c r="L7" s="4"/>
    </row>
    <row r="8" spans="1:12" ht="15.6" thickTop="1" thickBot="1">
      <c r="A8" s="54" t="s">
        <v>8</v>
      </c>
      <c r="B8" s="54"/>
      <c r="C8" s="54"/>
      <c r="D8" s="54"/>
      <c r="E8" s="54"/>
      <c r="F8" s="54"/>
      <c r="G8" s="54"/>
      <c r="H8" s="54"/>
    </row>
    <row r="9" spans="1:12" thickTop="1">
      <c r="A9" s="14">
        <v>1</v>
      </c>
      <c r="B9" s="14">
        <v>3</v>
      </c>
      <c r="C9" s="12" t="s">
        <v>10</v>
      </c>
      <c r="D9" s="12"/>
      <c r="E9" s="14" t="s">
        <v>9</v>
      </c>
      <c r="F9" s="14">
        <v>48.22</v>
      </c>
      <c r="G9" s="12">
        <v>1</v>
      </c>
      <c r="H9" s="14">
        <f t="shared" ref="H9:H51" si="0">G9*F9</f>
        <v>48.22</v>
      </c>
    </row>
    <row r="10" spans="1:12" ht="14.4">
      <c r="A10" s="14">
        <v>2</v>
      </c>
      <c r="B10" s="14">
        <v>5</v>
      </c>
      <c r="C10" s="12" t="s">
        <v>11</v>
      </c>
      <c r="D10" s="12"/>
      <c r="E10" s="14" t="s">
        <v>9</v>
      </c>
      <c r="F10" s="14">
        <v>48.22</v>
      </c>
      <c r="G10" s="12">
        <v>1</v>
      </c>
      <c r="H10" s="14">
        <f t="shared" si="0"/>
        <v>48.22</v>
      </c>
    </row>
    <row r="11" spans="1:12" ht="14.4">
      <c r="A11" s="14">
        <v>3</v>
      </c>
      <c r="B11" s="14">
        <v>9</v>
      </c>
      <c r="C11" s="12" t="s">
        <v>12</v>
      </c>
      <c r="D11" s="12"/>
      <c r="E11" s="14" t="s">
        <v>9</v>
      </c>
      <c r="F11" s="14">
        <v>48.22</v>
      </c>
      <c r="G11" s="12">
        <v>2</v>
      </c>
      <c r="H11" s="14">
        <f t="shared" si="0"/>
        <v>96.44</v>
      </c>
    </row>
    <row r="12" spans="1:12" ht="14.4">
      <c r="A12" s="14">
        <f t="shared" ref="A12:A51" si="1">A11+1</f>
        <v>4</v>
      </c>
      <c r="B12" s="14">
        <v>10</v>
      </c>
      <c r="C12" s="12" t="s">
        <v>13</v>
      </c>
      <c r="D12" s="12"/>
      <c r="E12" s="14" t="s">
        <v>9</v>
      </c>
      <c r="F12" s="14">
        <v>48.22</v>
      </c>
      <c r="G12" s="12">
        <v>5</v>
      </c>
      <c r="H12" s="14">
        <f t="shared" si="0"/>
        <v>241.1</v>
      </c>
    </row>
    <row r="13" spans="1:12" ht="14.4">
      <c r="A13" s="14">
        <f t="shared" si="1"/>
        <v>5</v>
      </c>
      <c r="B13" s="14">
        <v>11</v>
      </c>
      <c r="C13" s="12" t="s">
        <v>14</v>
      </c>
      <c r="D13" s="12"/>
      <c r="E13" s="14" t="s">
        <v>9</v>
      </c>
      <c r="F13" s="14">
        <v>48.22</v>
      </c>
      <c r="G13" s="12">
        <v>1</v>
      </c>
      <c r="H13" s="14">
        <f t="shared" si="0"/>
        <v>48.22</v>
      </c>
    </row>
    <row r="14" spans="1:12" ht="14.4">
      <c r="A14" s="14">
        <f t="shared" si="1"/>
        <v>6</v>
      </c>
      <c r="B14" s="14">
        <v>17</v>
      </c>
      <c r="C14" s="12" t="s">
        <v>15</v>
      </c>
      <c r="D14" s="12"/>
      <c r="E14" s="14" t="s">
        <v>9</v>
      </c>
      <c r="F14" s="14">
        <v>48.22</v>
      </c>
      <c r="G14" s="12">
        <v>1</v>
      </c>
      <c r="H14" s="14">
        <f t="shared" si="0"/>
        <v>48.22</v>
      </c>
    </row>
    <row r="15" spans="1:12" ht="14.4">
      <c r="A15" s="14">
        <f t="shared" si="1"/>
        <v>7</v>
      </c>
      <c r="B15" s="14">
        <v>19</v>
      </c>
      <c r="C15" s="12" t="s">
        <v>16</v>
      </c>
      <c r="D15" s="12"/>
      <c r="E15" s="14" t="s">
        <v>9</v>
      </c>
      <c r="F15" s="14">
        <v>48.22</v>
      </c>
      <c r="G15" s="12">
        <v>2</v>
      </c>
      <c r="H15" s="14">
        <f t="shared" si="0"/>
        <v>96.44</v>
      </c>
    </row>
    <row r="16" spans="1:12" ht="14.4">
      <c r="A16" s="14">
        <f t="shared" si="1"/>
        <v>8</v>
      </c>
      <c r="B16" s="14">
        <v>22</v>
      </c>
      <c r="C16" s="12" t="s">
        <v>17</v>
      </c>
      <c r="D16" s="12"/>
      <c r="E16" s="14" t="s">
        <v>9</v>
      </c>
      <c r="F16" s="14">
        <v>48.22</v>
      </c>
      <c r="G16" s="12">
        <v>2</v>
      </c>
      <c r="H16" s="14">
        <f t="shared" si="0"/>
        <v>96.44</v>
      </c>
    </row>
    <row r="17" spans="1:8" ht="14.4">
      <c r="A17" s="14">
        <f t="shared" si="1"/>
        <v>9</v>
      </c>
      <c r="B17" s="14">
        <v>24</v>
      </c>
      <c r="C17" s="12" t="s">
        <v>18</v>
      </c>
      <c r="D17" s="12"/>
      <c r="E17" s="14" t="s">
        <v>9</v>
      </c>
      <c r="F17" s="14">
        <v>48.22</v>
      </c>
      <c r="G17" s="12">
        <v>1</v>
      </c>
      <c r="H17" s="14">
        <f t="shared" si="0"/>
        <v>48.22</v>
      </c>
    </row>
    <row r="18" spans="1:8" ht="14.4">
      <c r="A18" s="14">
        <f t="shared" si="1"/>
        <v>10</v>
      </c>
      <c r="B18" s="14">
        <v>29</v>
      </c>
      <c r="C18" s="12" t="s">
        <v>19</v>
      </c>
      <c r="D18" s="12"/>
      <c r="E18" s="14" t="s">
        <v>9</v>
      </c>
      <c r="F18" s="14">
        <v>48.22</v>
      </c>
      <c r="G18" s="12">
        <v>3</v>
      </c>
      <c r="H18" s="14">
        <f t="shared" si="0"/>
        <v>144.66</v>
      </c>
    </row>
    <row r="19" spans="1:8" ht="14.4">
      <c r="A19" s="14">
        <f t="shared" si="1"/>
        <v>11</v>
      </c>
      <c r="B19" s="14">
        <v>31</v>
      </c>
      <c r="C19" s="12" t="s">
        <v>20</v>
      </c>
      <c r="D19" s="12"/>
      <c r="E19" s="14" t="s">
        <v>9</v>
      </c>
      <c r="F19" s="14">
        <v>48.22</v>
      </c>
      <c r="G19" s="12">
        <v>1</v>
      </c>
      <c r="H19" s="14">
        <f t="shared" si="0"/>
        <v>48.22</v>
      </c>
    </row>
    <row r="20" spans="1:8" ht="14.4">
      <c r="A20" s="14">
        <f t="shared" si="1"/>
        <v>12</v>
      </c>
      <c r="B20" s="14">
        <v>34</v>
      </c>
      <c r="C20" s="12" t="s">
        <v>21</v>
      </c>
      <c r="D20" s="12"/>
      <c r="E20" s="14" t="s">
        <v>9</v>
      </c>
      <c r="F20" s="14">
        <v>48.22</v>
      </c>
      <c r="G20" s="12">
        <v>1</v>
      </c>
      <c r="H20" s="14">
        <f t="shared" si="0"/>
        <v>48.22</v>
      </c>
    </row>
    <row r="21" spans="1:8" ht="15.75" customHeight="1">
      <c r="A21" s="14">
        <f t="shared" si="1"/>
        <v>13</v>
      </c>
      <c r="B21" s="14">
        <v>37</v>
      </c>
      <c r="C21" s="12" t="s">
        <v>22</v>
      </c>
      <c r="D21" s="12"/>
      <c r="E21" s="14" t="s">
        <v>9</v>
      </c>
      <c r="F21" s="14">
        <v>48.22</v>
      </c>
      <c r="G21" s="12">
        <v>1</v>
      </c>
      <c r="H21" s="14">
        <f t="shared" si="0"/>
        <v>48.22</v>
      </c>
    </row>
    <row r="22" spans="1:8" ht="15.75" customHeight="1">
      <c r="A22" s="14">
        <f t="shared" si="1"/>
        <v>14</v>
      </c>
      <c r="B22" s="14">
        <v>52</v>
      </c>
      <c r="C22" s="12" t="s">
        <v>25</v>
      </c>
      <c r="D22" s="12"/>
      <c r="E22" s="14" t="s">
        <v>9</v>
      </c>
      <c r="F22" s="14">
        <v>48.22</v>
      </c>
      <c r="G22" s="12">
        <v>1</v>
      </c>
      <c r="H22" s="14">
        <f t="shared" si="0"/>
        <v>48.22</v>
      </c>
    </row>
    <row r="23" spans="1:8" ht="15.75" customHeight="1">
      <c r="A23" s="14">
        <f t="shared" si="1"/>
        <v>15</v>
      </c>
      <c r="B23" s="14">
        <v>57</v>
      </c>
      <c r="C23" s="12" t="s">
        <v>26</v>
      </c>
      <c r="D23" s="12"/>
      <c r="E23" s="14" t="s">
        <v>9</v>
      </c>
      <c r="F23" s="14">
        <v>48.22</v>
      </c>
      <c r="G23" s="12">
        <v>1</v>
      </c>
      <c r="H23" s="14">
        <f t="shared" si="0"/>
        <v>48.22</v>
      </c>
    </row>
    <row r="24" spans="1:8" ht="15.75" customHeight="1">
      <c r="A24" s="14">
        <f t="shared" si="1"/>
        <v>16</v>
      </c>
      <c r="B24" s="14">
        <v>58</v>
      </c>
      <c r="C24" s="12" t="s">
        <v>27</v>
      </c>
      <c r="D24" s="12"/>
      <c r="E24" s="14" t="s">
        <v>9</v>
      </c>
      <c r="F24" s="14">
        <v>48.22</v>
      </c>
      <c r="G24" s="12">
        <v>1</v>
      </c>
      <c r="H24" s="14">
        <f t="shared" si="0"/>
        <v>48.22</v>
      </c>
    </row>
    <row r="25" spans="1:8" ht="15.75" customHeight="1">
      <c r="A25" s="14">
        <f t="shared" si="1"/>
        <v>17</v>
      </c>
      <c r="B25" s="14">
        <v>63</v>
      </c>
      <c r="C25" s="12" t="s">
        <v>28</v>
      </c>
      <c r="D25" s="12"/>
      <c r="E25" s="14" t="s">
        <v>9</v>
      </c>
      <c r="F25" s="14">
        <v>48.22</v>
      </c>
      <c r="G25" s="12">
        <v>1</v>
      </c>
      <c r="H25" s="14">
        <f t="shared" si="0"/>
        <v>48.22</v>
      </c>
    </row>
    <row r="26" spans="1:8" ht="15.75" customHeight="1">
      <c r="A26" s="14">
        <f t="shared" si="1"/>
        <v>18</v>
      </c>
      <c r="B26" s="14">
        <v>70</v>
      </c>
      <c r="C26" s="12" t="s">
        <v>29</v>
      </c>
      <c r="D26" s="12"/>
      <c r="E26" s="14" t="s">
        <v>9</v>
      </c>
      <c r="F26" s="14">
        <v>48.22</v>
      </c>
      <c r="G26" s="12">
        <v>1</v>
      </c>
      <c r="H26" s="14">
        <f t="shared" si="0"/>
        <v>48.22</v>
      </c>
    </row>
    <row r="27" spans="1:8" ht="15.75" customHeight="1">
      <c r="A27" s="14">
        <f t="shared" si="1"/>
        <v>19</v>
      </c>
      <c r="B27" s="14">
        <v>75</v>
      </c>
      <c r="C27" s="12" t="s">
        <v>30</v>
      </c>
      <c r="D27" s="12"/>
      <c r="E27" s="14" t="s">
        <v>9</v>
      </c>
      <c r="F27" s="14">
        <v>48.22</v>
      </c>
      <c r="G27" s="12">
        <v>2</v>
      </c>
      <c r="H27" s="14">
        <f t="shared" si="0"/>
        <v>96.44</v>
      </c>
    </row>
    <row r="28" spans="1:8" ht="15.75" customHeight="1">
      <c r="A28" s="14">
        <f t="shared" si="1"/>
        <v>20</v>
      </c>
      <c r="B28" s="14">
        <v>77</v>
      </c>
      <c r="C28" s="12" t="s">
        <v>31</v>
      </c>
      <c r="D28" s="12"/>
      <c r="E28" s="14" t="s">
        <v>9</v>
      </c>
      <c r="F28" s="14">
        <v>48.22</v>
      </c>
      <c r="G28" s="12">
        <v>1</v>
      </c>
      <c r="H28" s="14">
        <f t="shared" si="0"/>
        <v>48.22</v>
      </c>
    </row>
    <row r="29" spans="1:8" ht="15.75" customHeight="1">
      <c r="A29" s="14">
        <f t="shared" si="1"/>
        <v>21</v>
      </c>
      <c r="B29" s="14">
        <v>79</v>
      </c>
      <c r="C29" s="12" t="s">
        <v>32</v>
      </c>
      <c r="D29" s="12"/>
      <c r="E29" s="14" t="s">
        <v>9</v>
      </c>
      <c r="F29" s="14">
        <v>48.22</v>
      </c>
      <c r="G29" s="12">
        <v>1</v>
      </c>
      <c r="H29" s="14">
        <f t="shared" si="0"/>
        <v>48.22</v>
      </c>
    </row>
    <row r="30" spans="1:8" ht="15.75" customHeight="1">
      <c r="A30" s="14">
        <f t="shared" si="1"/>
        <v>22</v>
      </c>
      <c r="B30" s="14">
        <v>80</v>
      </c>
      <c r="C30" s="12" t="s">
        <v>33</v>
      </c>
      <c r="D30" s="12"/>
      <c r="E30" s="14" t="s">
        <v>9</v>
      </c>
      <c r="F30" s="14">
        <v>48.22</v>
      </c>
      <c r="G30" s="12">
        <v>2</v>
      </c>
      <c r="H30" s="14">
        <f t="shared" si="0"/>
        <v>96.44</v>
      </c>
    </row>
    <row r="31" spans="1:8" ht="15.75" customHeight="1">
      <c r="A31" s="14">
        <f t="shared" si="1"/>
        <v>23</v>
      </c>
      <c r="B31" s="14">
        <v>84</v>
      </c>
      <c r="C31" s="12" t="s">
        <v>34</v>
      </c>
      <c r="D31" s="12"/>
      <c r="E31" s="14" t="s">
        <v>9</v>
      </c>
      <c r="F31" s="14">
        <v>48.22</v>
      </c>
      <c r="G31" s="12">
        <v>1</v>
      </c>
      <c r="H31" s="14">
        <f t="shared" si="0"/>
        <v>48.22</v>
      </c>
    </row>
    <row r="32" spans="1:8" ht="15.75" customHeight="1">
      <c r="A32" s="14">
        <f t="shared" si="1"/>
        <v>24</v>
      </c>
      <c r="B32" s="14">
        <v>85</v>
      </c>
      <c r="C32" s="12" t="s">
        <v>35</v>
      </c>
      <c r="D32" s="12"/>
      <c r="E32" s="14" t="s">
        <v>9</v>
      </c>
      <c r="F32" s="14">
        <v>48.22</v>
      </c>
      <c r="G32" s="12">
        <v>1</v>
      </c>
      <c r="H32" s="14">
        <f t="shared" si="0"/>
        <v>48.22</v>
      </c>
    </row>
    <row r="33" spans="1:8" ht="15.75" customHeight="1">
      <c r="A33" s="14">
        <f t="shared" si="1"/>
        <v>25</v>
      </c>
      <c r="B33" s="14">
        <v>87</v>
      </c>
      <c r="C33" s="12" t="s">
        <v>36</v>
      </c>
      <c r="D33" s="12"/>
      <c r="E33" s="14" t="s">
        <v>9</v>
      </c>
      <c r="F33" s="14">
        <v>48.22</v>
      </c>
      <c r="G33" s="12">
        <v>1</v>
      </c>
      <c r="H33" s="14">
        <f t="shared" si="0"/>
        <v>48.22</v>
      </c>
    </row>
    <row r="34" spans="1:8" ht="15.75" customHeight="1">
      <c r="A34" s="14">
        <f t="shared" si="1"/>
        <v>26</v>
      </c>
      <c r="B34" s="14">
        <v>88</v>
      </c>
      <c r="C34" s="12" t="s">
        <v>37</v>
      </c>
      <c r="D34" s="12"/>
      <c r="E34" s="14" t="s">
        <v>9</v>
      </c>
      <c r="F34" s="14">
        <v>48.22</v>
      </c>
      <c r="G34" s="12">
        <v>1</v>
      </c>
      <c r="H34" s="14">
        <f t="shared" si="0"/>
        <v>48.22</v>
      </c>
    </row>
    <row r="35" spans="1:8" ht="15.75" customHeight="1">
      <c r="A35" s="14">
        <f t="shared" si="1"/>
        <v>27</v>
      </c>
      <c r="B35" s="14">
        <v>91</v>
      </c>
      <c r="C35" s="12" t="s">
        <v>38</v>
      </c>
      <c r="D35" s="12"/>
      <c r="E35" s="14" t="s">
        <v>9</v>
      </c>
      <c r="F35" s="14">
        <v>48.22</v>
      </c>
      <c r="G35" s="12">
        <v>1</v>
      </c>
      <c r="H35" s="14">
        <f t="shared" si="0"/>
        <v>48.22</v>
      </c>
    </row>
    <row r="36" spans="1:8" ht="15.75" customHeight="1">
      <c r="A36" s="14">
        <f t="shared" si="1"/>
        <v>28</v>
      </c>
      <c r="B36" s="14">
        <v>102</v>
      </c>
      <c r="C36" s="12" t="s">
        <v>39</v>
      </c>
      <c r="D36" s="12"/>
      <c r="E36" s="14" t="s">
        <v>9</v>
      </c>
      <c r="F36" s="14">
        <v>48.22</v>
      </c>
      <c r="G36" s="12">
        <v>1</v>
      </c>
      <c r="H36" s="14">
        <f t="shared" si="0"/>
        <v>48.22</v>
      </c>
    </row>
    <row r="37" spans="1:8" ht="15.75" customHeight="1">
      <c r="A37" s="14">
        <f t="shared" si="1"/>
        <v>29</v>
      </c>
      <c r="B37" s="14">
        <v>105</v>
      </c>
      <c r="C37" s="12" t="s">
        <v>40</v>
      </c>
      <c r="D37" s="12"/>
      <c r="E37" s="14" t="s">
        <v>9</v>
      </c>
      <c r="F37" s="14">
        <v>48.22</v>
      </c>
      <c r="G37" s="12">
        <v>3</v>
      </c>
      <c r="H37" s="14">
        <f t="shared" si="0"/>
        <v>144.66</v>
      </c>
    </row>
    <row r="38" spans="1:8" ht="15.75" customHeight="1">
      <c r="A38" s="14">
        <f t="shared" si="1"/>
        <v>30</v>
      </c>
      <c r="B38" s="14">
        <v>109</v>
      </c>
      <c r="C38" s="12" t="s">
        <v>41</v>
      </c>
      <c r="D38" s="12"/>
      <c r="E38" s="14" t="s">
        <v>9</v>
      </c>
      <c r="F38" s="14">
        <v>48.22</v>
      </c>
      <c r="G38" s="12">
        <v>2</v>
      </c>
      <c r="H38" s="14">
        <f t="shared" si="0"/>
        <v>96.44</v>
      </c>
    </row>
    <row r="39" spans="1:8" ht="15.75" customHeight="1">
      <c r="A39" s="14">
        <f t="shared" si="1"/>
        <v>31</v>
      </c>
      <c r="B39" s="14">
        <v>118</v>
      </c>
      <c r="C39" s="12" t="s">
        <v>42</v>
      </c>
      <c r="D39" s="12"/>
      <c r="E39" s="14" t="s">
        <v>9</v>
      </c>
      <c r="F39" s="14">
        <v>48.22</v>
      </c>
      <c r="G39" s="12">
        <v>1</v>
      </c>
      <c r="H39" s="14">
        <f t="shared" si="0"/>
        <v>48.22</v>
      </c>
    </row>
    <row r="40" spans="1:8" ht="15.75" customHeight="1">
      <c r="A40" s="14">
        <f t="shared" si="1"/>
        <v>32</v>
      </c>
      <c r="B40" s="14">
        <v>119</v>
      </c>
      <c r="C40" s="12" t="s">
        <v>43</v>
      </c>
      <c r="D40" s="12"/>
      <c r="E40" s="14" t="s">
        <v>9</v>
      </c>
      <c r="F40" s="14">
        <v>48.22</v>
      </c>
      <c r="G40" s="12">
        <v>1</v>
      </c>
      <c r="H40" s="14">
        <f t="shared" si="0"/>
        <v>48.22</v>
      </c>
    </row>
    <row r="41" spans="1:8" ht="15.75" customHeight="1">
      <c r="A41" s="14">
        <f t="shared" si="1"/>
        <v>33</v>
      </c>
      <c r="B41" s="14">
        <v>121</v>
      </c>
      <c r="C41" s="12" t="s">
        <v>44</v>
      </c>
      <c r="D41" s="12"/>
      <c r="E41" s="14" t="s">
        <v>9</v>
      </c>
      <c r="F41" s="14">
        <v>48.22</v>
      </c>
      <c r="G41" s="12">
        <v>1</v>
      </c>
      <c r="H41" s="14">
        <f t="shared" si="0"/>
        <v>48.22</v>
      </c>
    </row>
    <row r="42" spans="1:8" ht="15.75" customHeight="1">
      <c r="A42" s="14">
        <f t="shared" si="1"/>
        <v>34</v>
      </c>
      <c r="B42" s="14">
        <v>124</v>
      </c>
      <c r="C42" s="12" t="s">
        <v>45</v>
      </c>
      <c r="D42" s="12"/>
      <c r="E42" s="14" t="s">
        <v>9</v>
      </c>
      <c r="F42" s="14">
        <v>48.22</v>
      </c>
      <c r="G42" s="12">
        <v>2</v>
      </c>
      <c r="H42" s="14">
        <f t="shared" si="0"/>
        <v>96.44</v>
      </c>
    </row>
    <row r="43" spans="1:8" ht="15.75" customHeight="1">
      <c r="A43" s="14">
        <f t="shared" si="1"/>
        <v>35</v>
      </c>
      <c r="B43" s="14">
        <v>130</v>
      </c>
      <c r="C43" s="12" t="s">
        <v>46</v>
      </c>
      <c r="D43" s="12"/>
      <c r="E43" s="14" t="s">
        <v>9</v>
      </c>
      <c r="F43" s="14">
        <v>48.22</v>
      </c>
      <c r="G43" s="12">
        <v>1</v>
      </c>
      <c r="H43" s="14">
        <f t="shared" si="0"/>
        <v>48.22</v>
      </c>
    </row>
    <row r="44" spans="1:8" ht="15.75" customHeight="1">
      <c r="A44" s="14">
        <f t="shared" si="1"/>
        <v>36</v>
      </c>
      <c r="B44" s="14">
        <v>136</v>
      </c>
      <c r="C44" s="12" t="s">
        <v>48</v>
      </c>
      <c r="D44" s="12"/>
      <c r="E44" s="14" t="s">
        <v>9</v>
      </c>
      <c r="F44" s="14">
        <v>48.22</v>
      </c>
      <c r="G44" s="12">
        <v>1</v>
      </c>
      <c r="H44" s="14">
        <f t="shared" si="0"/>
        <v>48.22</v>
      </c>
    </row>
    <row r="45" spans="1:8" ht="15.75" customHeight="1">
      <c r="A45" s="14">
        <f t="shared" si="1"/>
        <v>37</v>
      </c>
      <c r="B45" s="14">
        <v>141</v>
      </c>
      <c r="C45" s="12" t="s">
        <v>49</v>
      </c>
      <c r="D45" s="12"/>
      <c r="E45" s="14" t="s">
        <v>9</v>
      </c>
      <c r="F45" s="14">
        <v>48.22</v>
      </c>
      <c r="G45" s="12">
        <v>2</v>
      </c>
      <c r="H45" s="14">
        <f t="shared" si="0"/>
        <v>96.44</v>
      </c>
    </row>
    <row r="46" spans="1:8" ht="15.75" customHeight="1">
      <c r="A46" s="14">
        <f t="shared" si="1"/>
        <v>38</v>
      </c>
      <c r="B46" s="14">
        <v>147</v>
      </c>
      <c r="C46" s="12" t="s">
        <v>50</v>
      </c>
      <c r="D46" s="12"/>
      <c r="E46" s="14" t="s">
        <v>9</v>
      </c>
      <c r="F46" s="14">
        <v>48.22</v>
      </c>
      <c r="G46" s="12">
        <v>1</v>
      </c>
      <c r="H46" s="14">
        <f t="shared" si="0"/>
        <v>48.22</v>
      </c>
    </row>
    <row r="47" spans="1:8" ht="15.75" customHeight="1">
      <c r="A47" s="14">
        <f t="shared" si="1"/>
        <v>39</v>
      </c>
      <c r="B47" s="14">
        <v>148</v>
      </c>
      <c r="C47" s="12" t="s">
        <v>51</v>
      </c>
      <c r="D47" s="12"/>
      <c r="E47" s="14" t="s">
        <v>9</v>
      </c>
      <c r="F47" s="14">
        <v>48.22</v>
      </c>
      <c r="G47" s="12">
        <v>1</v>
      </c>
      <c r="H47" s="14">
        <f t="shared" si="0"/>
        <v>48.22</v>
      </c>
    </row>
    <row r="48" spans="1:8" ht="15.75" customHeight="1">
      <c r="A48" s="14">
        <f t="shared" si="1"/>
        <v>40</v>
      </c>
      <c r="B48" s="14">
        <v>150</v>
      </c>
      <c r="C48" s="12" t="s">
        <v>52</v>
      </c>
      <c r="D48" s="12"/>
      <c r="E48" s="14" t="s">
        <v>9</v>
      </c>
      <c r="F48" s="14">
        <v>48.22</v>
      </c>
      <c r="G48" s="12">
        <v>1</v>
      </c>
      <c r="H48" s="14">
        <f t="shared" si="0"/>
        <v>48.22</v>
      </c>
    </row>
    <row r="49" spans="1:8" ht="15.75" customHeight="1">
      <c r="A49" s="14">
        <f t="shared" si="1"/>
        <v>41</v>
      </c>
      <c r="B49" s="14">
        <v>151</v>
      </c>
      <c r="C49" s="12" t="s">
        <v>53</v>
      </c>
      <c r="D49" s="12"/>
      <c r="E49" s="14" t="s">
        <v>9</v>
      </c>
      <c r="F49" s="14">
        <v>48.22</v>
      </c>
      <c r="G49" s="12">
        <v>1</v>
      </c>
      <c r="H49" s="14">
        <f t="shared" si="0"/>
        <v>48.22</v>
      </c>
    </row>
    <row r="50" spans="1:8" ht="15.75" customHeight="1">
      <c r="A50" s="14">
        <f t="shared" si="1"/>
        <v>42</v>
      </c>
      <c r="B50" s="14">
        <v>153</v>
      </c>
      <c r="C50" s="12" t="s">
        <v>54</v>
      </c>
      <c r="D50" s="12"/>
      <c r="E50" s="14" t="s">
        <v>9</v>
      </c>
      <c r="F50" s="14">
        <v>48.22</v>
      </c>
      <c r="G50" s="12">
        <v>1</v>
      </c>
      <c r="H50" s="14">
        <f t="shared" si="0"/>
        <v>48.22</v>
      </c>
    </row>
    <row r="51" spans="1:8" ht="15.75" customHeight="1">
      <c r="A51" s="14">
        <f t="shared" si="1"/>
        <v>43</v>
      </c>
      <c r="B51" s="14">
        <v>162</v>
      </c>
      <c r="C51" s="12" t="s">
        <v>56</v>
      </c>
      <c r="D51" s="12"/>
      <c r="E51" s="14" t="s">
        <v>9</v>
      </c>
      <c r="F51" s="14">
        <v>48.22</v>
      </c>
      <c r="G51" s="12">
        <v>1</v>
      </c>
      <c r="H51" s="14">
        <f t="shared" si="0"/>
        <v>48.22</v>
      </c>
    </row>
    <row r="52" spans="1:8" ht="15.75" customHeight="1" thickBot="1">
      <c r="A52" s="10"/>
      <c r="B52" s="10"/>
      <c r="C52" s="10"/>
      <c r="D52" s="10"/>
      <c r="E52" s="10"/>
      <c r="F52" s="13" t="s">
        <v>7</v>
      </c>
      <c r="G52" s="10">
        <f>SUM(G9:G51)</f>
        <v>59</v>
      </c>
      <c r="H52" s="14">
        <f>SUM(H9:H51)</f>
        <v>2844.9799999999987</v>
      </c>
    </row>
    <row r="53" spans="1:8" ht="15.75" customHeight="1" thickTop="1" thickBot="1">
      <c r="A53" s="54" t="s">
        <v>57</v>
      </c>
      <c r="B53" s="54"/>
      <c r="C53" s="54"/>
      <c r="D53" s="54"/>
      <c r="E53" s="54"/>
      <c r="F53" s="54"/>
      <c r="G53" s="54"/>
      <c r="H53" s="54"/>
    </row>
    <row r="54" spans="1:8" ht="15.75" customHeight="1" thickTop="1">
      <c r="A54" s="12" t="s">
        <v>1</v>
      </c>
      <c r="B54" s="12" t="s">
        <v>2</v>
      </c>
      <c r="C54" s="48" t="s">
        <v>58</v>
      </c>
      <c r="D54" s="49"/>
      <c r="E54" s="14" t="s">
        <v>59</v>
      </c>
      <c r="F54" s="12" t="s">
        <v>5</v>
      </c>
      <c r="G54" s="12"/>
      <c r="H54" s="14"/>
    </row>
    <row r="55" spans="1:8" ht="15.75" customHeight="1">
      <c r="A55" s="14">
        <v>1</v>
      </c>
      <c r="B55" s="14">
        <v>4</v>
      </c>
      <c r="C55" s="12" t="s">
        <v>60</v>
      </c>
      <c r="D55" s="12"/>
      <c r="E55" s="14" t="s">
        <v>9</v>
      </c>
      <c r="F55" s="14">
        <v>50.8</v>
      </c>
      <c r="G55" s="12">
        <v>1</v>
      </c>
      <c r="H55" s="14">
        <f t="shared" ref="H55:H86" si="2">G55*F55</f>
        <v>50.8</v>
      </c>
    </row>
    <row r="56" spans="1:8" ht="15.75" customHeight="1">
      <c r="A56" s="14">
        <v>2</v>
      </c>
      <c r="B56" s="14">
        <v>7</v>
      </c>
      <c r="C56" s="12" t="s">
        <v>61</v>
      </c>
      <c r="D56" s="12"/>
      <c r="E56" s="14" t="s">
        <v>9</v>
      </c>
      <c r="F56" s="14">
        <v>50.8</v>
      </c>
      <c r="G56" s="12">
        <v>1</v>
      </c>
      <c r="H56" s="14">
        <f t="shared" si="2"/>
        <v>50.8</v>
      </c>
    </row>
    <row r="57" spans="1:8" ht="15.75" customHeight="1">
      <c r="A57" s="14">
        <v>3</v>
      </c>
      <c r="B57" s="14">
        <v>20</v>
      </c>
      <c r="C57" s="12" t="s">
        <v>12</v>
      </c>
      <c r="D57" s="12"/>
      <c r="E57" s="14" t="s">
        <v>9</v>
      </c>
      <c r="F57" s="14">
        <v>50.8</v>
      </c>
      <c r="G57" s="12">
        <v>1</v>
      </c>
      <c r="H57" s="14">
        <f t="shared" si="2"/>
        <v>50.8</v>
      </c>
    </row>
    <row r="58" spans="1:8" ht="15.75" customHeight="1">
      <c r="A58" s="14">
        <v>4</v>
      </c>
      <c r="B58" s="14">
        <v>21</v>
      </c>
      <c r="C58" s="12" t="s">
        <v>13</v>
      </c>
      <c r="D58" s="12"/>
      <c r="E58" s="14" t="s">
        <v>9</v>
      </c>
      <c r="F58" s="14">
        <v>50.8</v>
      </c>
      <c r="G58" s="12">
        <v>1</v>
      </c>
      <c r="H58" s="14">
        <f t="shared" si="2"/>
        <v>50.8</v>
      </c>
    </row>
    <row r="59" spans="1:8" ht="15.75" customHeight="1">
      <c r="A59" s="14">
        <f t="shared" ref="A59:A86" si="3">A58+1</f>
        <v>5</v>
      </c>
      <c r="B59" s="14">
        <v>22</v>
      </c>
      <c r="C59" s="12" t="s">
        <v>14</v>
      </c>
      <c r="D59" s="12"/>
      <c r="E59" s="14" t="s">
        <v>9</v>
      </c>
      <c r="F59" s="14">
        <v>50.8</v>
      </c>
      <c r="G59" s="12">
        <v>1</v>
      </c>
      <c r="H59" s="14">
        <f t="shared" si="2"/>
        <v>50.8</v>
      </c>
    </row>
    <row r="60" spans="1:8" ht="15.75" customHeight="1">
      <c r="A60" s="14">
        <f t="shared" si="3"/>
        <v>6</v>
      </c>
      <c r="B60" s="14">
        <v>25</v>
      </c>
      <c r="C60" s="12" t="s">
        <v>62</v>
      </c>
      <c r="D60" s="12"/>
      <c r="E60" s="14" t="s">
        <v>9</v>
      </c>
      <c r="F60" s="14">
        <v>50.8</v>
      </c>
      <c r="G60" s="12">
        <v>1</v>
      </c>
      <c r="H60" s="14">
        <f t="shared" si="2"/>
        <v>50.8</v>
      </c>
    </row>
    <row r="61" spans="1:8" ht="15.75" customHeight="1">
      <c r="A61" s="14">
        <f t="shared" si="3"/>
        <v>7</v>
      </c>
      <c r="B61" s="14">
        <v>31</v>
      </c>
      <c r="C61" s="12" t="s">
        <v>63</v>
      </c>
      <c r="D61" s="12"/>
      <c r="E61" s="14" t="s">
        <v>9</v>
      </c>
      <c r="F61" s="14">
        <v>50.8</v>
      </c>
      <c r="G61" s="12">
        <v>3</v>
      </c>
      <c r="H61" s="14">
        <f t="shared" si="2"/>
        <v>152.39999999999998</v>
      </c>
    </row>
    <row r="62" spans="1:8" ht="15.75" customHeight="1">
      <c r="A62" s="14">
        <f t="shared" si="3"/>
        <v>8</v>
      </c>
      <c r="B62" s="14">
        <v>32</v>
      </c>
      <c r="C62" s="12" t="s">
        <v>20</v>
      </c>
      <c r="D62" s="12"/>
      <c r="E62" s="14" t="s">
        <v>9</v>
      </c>
      <c r="F62" s="14">
        <v>50.8</v>
      </c>
      <c r="G62" s="12">
        <v>1</v>
      </c>
      <c r="H62" s="14">
        <f t="shared" si="2"/>
        <v>50.8</v>
      </c>
    </row>
    <row r="63" spans="1:8" ht="15.75" customHeight="1">
      <c r="A63" s="14">
        <f t="shared" si="3"/>
        <v>9</v>
      </c>
      <c r="B63" s="14">
        <v>47</v>
      </c>
      <c r="C63" s="12" t="s">
        <v>23</v>
      </c>
      <c r="D63" s="12"/>
      <c r="E63" s="14" t="s">
        <v>9</v>
      </c>
      <c r="F63" s="14">
        <v>50.8</v>
      </c>
      <c r="G63" s="12">
        <v>1</v>
      </c>
      <c r="H63" s="14">
        <f t="shared" si="2"/>
        <v>50.8</v>
      </c>
    </row>
    <row r="64" spans="1:8" ht="15.75" customHeight="1">
      <c r="A64" s="14">
        <f t="shared" si="3"/>
        <v>10</v>
      </c>
      <c r="B64" s="14">
        <v>49</v>
      </c>
      <c r="C64" s="12" t="s">
        <v>24</v>
      </c>
      <c r="D64" s="12"/>
      <c r="E64" s="14" t="s">
        <v>9</v>
      </c>
      <c r="F64" s="14">
        <v>50.8</v>
      </c>
      <c r="G64" s="12">
        <v>1</v>
      </c>
      <c r="H64" s="14">
        <f t="shared" si="2"/>
        <v>50.8</v>
      </c>
    </row>
    <row r="65" spans="1:13" ht="15.75" customHeight="1">
      <c r="A65" s="14">
        <f t="shared" si="3"/>
        <v>11</v>
      </c>
      <c r="B65" s="14">
        <v>55</v>
      </c>
      <c r="C65" s="12" t="s">
        <v>27</v>
      </c>
      <c r="D65" s="12"/>
      <c r="E65" s="14" t="s">
        <v>9</v>
      </c>
      <c r="F65" s="14">
        <v>50.8</v>
      </c>
      <c r="G65" s="12">
        <v>1</v>
      </c>
      <c r="H65" s="14">
        <f t="shared" si="2"/>
        <v>50.8</v>
      </c>
    </row>
    <row r="66" spans="1:13" ht="15.75" customHeight="1">
      <c r="A66" s="14">
        <f t="shared" si="3"/>
        <v>12</v>
      </c>
      <c r="B66" s="14">
        <v>63</v>
      </c>
      <c r="C66" s="12" t="s">
        <v>64</v>
      </c>
      <c r="D66" s="12"/>
      <c r="E66" s="14" t="s">
        <v>9</v>
      </c>
      <c r="F66" s="14">
        <v>50.8</v>
      </c>
      <c r="G66" s="12">
        <v>1</v>
      </c>
      <c r="H66" s="14">
        <f t="shared" si="2"/>
        <v>50.8</v>
      </c>
    </row>
    <row r="67" spans="1:13" ht="15.75" customHeight="1">
      <c r="A67" s="14">
        <f t="shared" si="3"/>
        <v>13</v>
      </c>
      <c r="B67" s="14">
        <v>72</v>
      </c>
      <c r="C67" s="12" t="s">
        <v>65</v>
      </c>
      <c r="D67" s="12"/>
      <c r="E67" s="14" t="s">
        <v>9</v>
      </c>
      <c r="F67" s="14">
        <v>50.8</v>
      </c>
      <c r="G67" s="12">
        <v>1</v>
      </c>
      <c r="H67" s="14">
        <f t="shared" si="2"/>
        <v>50.8</v>
      </c>
    </row>
    <row r="68" spans="1:13" ht="15.75" customHeight="1">
      <c r="A68" s="14">
        <f t="shared" si="3"/>
        <v>14</v>
      </c>
      <c r="B68" s="14">
        <v>73</v>
      </c>
      <c r="C68" s="12" t="s">
        <v>66</v>
      </c>
      <c r="D68" s="12"/>
      <c r="E68" s="14" t="s">
        <v>9</v>
      </c>
      <c r="F68" s="14">
        <v>50.8</v>
      </c>
      <c r="G68" s="12">
        <v>1</v>
      </c>
      <c r="H68" s="14">
        <f t="shared" si="2"/>
        <v>50.8</v>
      </c>
      <c r="M68">
        <f>SUM(G9:G51)</f>
        <v>59</v>
      </c>
    </row>
    <row r="69" spans="1:13" ht="15.75" customHeight="1">
      <c r="A69" s="14">
        <f t="shared" si="3"/>
        <v>15</v>
      </c>
      <c r="B69" s="14">
        <v>74</v>
      </c>
      <c r="C69" s="12" t="s">
        <v>33</v>
      </c>
      <c r="D69" s="12"/>
      <c r="E69" s="14" t="s">
        <v>9</v>
      </c>
      <c r="F69" s="14">
        <v>50.8</v>
      </c>
      <c r="G69" s="12">
        <v>1</v>
      </c>
      <c r="H69" s="14">
        <f t="shared" si="2"/>
        <v>50.8</v>
      </c>
      <c r="M69">
        <f>SUM(G55:G86)</f>
        <v>36</v>
      </c>
    </row>
    <row r="70" spans="1:13" ht="15.75" customHeight="1">
      <c r="A70" s="14">
        <f t="shared" si="3"/>
        <v>16</v>
      </c>
      <c r="B70" s="14">
        <v>82</v>
      </c>
      <c r="C70" s="12" t="s">
        <v>38</v>
      </c>
      <c r="D70" s="12"/>
      <c r="E70" s="14" t="s">
        <v>9</v>
      </c>
      <c r="F70" s="14">
        <v>50.8</v>
      </c>
      <c r="G70" s="12">
        <v>1</v>
      </c>
      <c r="H70" s="14">
        <f t="shared" si="2"/>
        <v>50.8</v>
      </c>
      <c r="M70">
        <f>SUM(M68:M69)</f>
        <v>95</v>
      </c>
    </row>
    <row r="71" spans="1:13" ht="15.75" customHeight="1">
      <c r="A71" s="14">
        <f t="shared" si="3"/>
        <v>17</v>
      </c>
      <c r="B71" s="14">
        <v>93</v>
      </c>
      <c r="C71" s="12" t="s">
        <v>40</v>
      </c>
      <c r="D71" s="12"/>
      <c r="E71" s="14" t="s">
        <v>9</v>
      </c>
      <c r="F71" s="14">
        <v>50.8</v>
      </c>
      <c r="G71" s="12">
        <v>1</v>
      </c>
      <c r="H71" s="14">
        <f t="shared" si="2"/>
        <v>50.8</v>
      </c>
    </row>
    <row r="72" spans="1:13" ht="15.75" customHeight="1">
      <c r="A72" s="14">
        <f t="shared" si="3"/>
        <v>18</v>
      </c>
      <c r="B72" s="14">
        <v>97</v>
      </c>
      <c r="C72" s="12" t="s">
        <v>67</v>
      </c>
      <c r="D72" s="12"/>
      <c r="E72" s="14" t="s">
        <v>9</v>
      </c>
      <c r="F72" s="14">
        <v>50.8</v>
      </c>
      <c r="G72" s="12">
        <v>1</v>
      </c>
      <c r="H72" s="14">
        <f t="shared" si="2"/>
        <v>50.8</v>
      </c>
    </row>
    <row r="73" spans="1:13" ht="15.75" customHeight="1">
      <c r="A73" s="14">
        <f t="shared" si="3"/>
        <v>19</v>
      </c>
      <c r="B73" s="14">
        <v>99</v>
      </c>
      <c r="C73" s="12" t="s">
        <v>68</v>
      </c>
      <c r="D73" s="12"/>
      <c r="E73" s="14" t="s">
        <v>9</v>
      </c>
      <c r="F73" s="14">
        <v>50.8</v>
      </c>
      <c r="G73" s="12">
        <v>2</v>
      </c>
      <c r="H73" s="14">
        <f t="shared" si="2"/>
        <v>101.6</v>
      </c>
    </row>
    <row r="74" spans="1:13" ht="15.75" customHeight="1">
      <c r="A74" s="14">
        <f t="shared" si="3"/>
        <v>20</v>
      </c>
      <c r="B74" s="14">
        <v>105</v>
      </c>
      <c r="C74" s="12" t="s">
        <v>69</v>
      </c>
      <c r="D74" s="12"/>
      <c r="E74" s="14" t="s">
        <v>9</v>
      </c>
      <c r="F74" s="14">
        <v>50.8</v>
      </c>
      <c r="G74" s="12">
        <v>1</v>
      </c>
      <c r="H74" s="14">
        <f t="shared" si="2"/>
        <v>50.8</v>
      </c>
    </row>
    <row r="75" spans="1:13" ht="15.75" customHeight="1">
      <c r="A75" s="14">
        <f t="shared" si="3"/>
        <v>21</v>
      </c>
      <c r="B75" s="14">
        <v>106</v>
      </c>
      <c r="C75" s="12" t="s">
        <v>43</v>
      </c>
      <c r="D75" s="12"/>
      <c r="E75" s="14" t="s">
        <v>9</v>
      </c>
      <c r="F75" s="14">
        <v>50.8</v>
      </c>
      <c r="G75" s="12">
        <v>1</v>
      </c>
      <c r="H75" s="14">
        <f t="shared" si="2"/>
        <v>50.8</v>
      </c>
    </row>
    <row r="76" spans="1:13" ht="15.75" customHeight="1">
      <c r="A76" s="14">
        <f t="shared" si="3"/>
        <v>22</v>
      </c>
      <c r="B76" s="14">
        <v>107</v>
      </c>
      <c r="C76" s="12" t="s">
        <v>44</v>
      </c>
      <c r="D76" s="12"/>
      <c r="E76" s="14" t="s">
        <v>9</v>
      </c>
      <c r="F76" s="14">
        <v>50.8</v>
      </c>
      <c r="G76" s="12">
        <v>1</v>
      </c>
      <c r="H76" s="14">
        <f t="shared" si="2"/>
        <v>50.8</v>
      </c>
    </row>
    <row r="77" spans="1:13" ht="15.75" customHeight="1">
      <c r="A77" s="14">
        <f t="shared" si="3"/>
        <v>23</v>
      </c>
      <c r="B77" s="14">
        <v>110</v>
      </c>
      <c r="C77" s="12" t="s">
        <v>45</v>
      </c>
      <c r="D77" s="12"/>
      <c r="E77" s="14" t="s">
        <v>9</v>
      </c>
      <c r="F77" s="14">
        <v>50.8</v>
      </c>
      <c r="G77" s="12">
        <v>1</v>
      </c>
      <c r="H77" s="14">
        <f t="shared" si="2"/>
        <v>50.8</v>
      </c>
    </row>
    <row r="78" spans="1:13" ht="15.75" customHeight="1">
      <c r="A78" s="14">
        <f t="shared" si="3"/>
        <v>24</v>
      </c>
      <c r="B78" s="14">
        <v>120</v>
      </c>
      <c r="C78" s="12" t="s">
        <v>47</v>
      </c>
      <c r="D78" s="12"/>
      <c r="E78" s="14" t="s">
        <v>9</v>
      </c>
      <c r="F78" s="14">
        <v>50.8</v>
      </c>
      <c r="G78" s="12">
        <v>1</v>
      </c>
      <c r="H78" s="14">
        <f t="shared" si="2"/>
        <v>50.8</v>
      </c>
    </row>
    <row r="79" spans="1:13" ht="15.75" customHeight="1">
      <c r="A79" s="14">
        <f t="shared" si="3"/>
        <v>25</v>
      </c>
      <c r="B79" s="14">
        <v>121</v>
      </c>
      <c r="C79" s="12" t="s">
        <v>48</v>
      </c>
      <c r="D79" s="12"/>
      <c r="E79" s="14" t="s">
        <v>9</v>
      </c>
      <c r="F79" s="14">
        <v>50.8</v>
      </c>
      <c r="G79" s="12">
        <v>2</v>
      </c>
      <c r="H79" s="14">
        <f t="shared" si="2"/>
        <v>101.6</v>
      </c>
    </row>
    <row r="80" spans="1:13" ht="15.75" customHeight="1">
      <c r="A80" s="14">
        <f t="shared" si="3"/>
        <v>26</v>
      </c>
      <c r="B80" s="14">
        <v>130</v>
      </c>
      <c r="C80" s="12" t="s">
        <v>52</v>
      </c>
      <c r="D80" s="12"/>
      <c r="E80" s="14" t="s">
        <v>9</v>
      </c>
      <c r="F80" s="14">
        <v>50.8</v>
      </c>
      <c r="G80" s="12">
        <v>1</v>
      </c>
      <c r="H80" s="14">
        <f t="shared" si="2"/>
        <v>50.8</v>
      </c>
      <c r="M80">
        <f>SUM(43+43)</f>
        <v>86</v>
      </c>
    </row>
    <row r="81" spans="1:8" ht="15.75" customHeight="1">
      <c r="A81" s="14">
        <f t="shared" si="3"/>
        <v>27</v>
      </c>
      <c r="B81" s="14">
        <v>131</v>
      </c>
      <c r="C81" s="12" t="s">
        <v>53</v>
      </c>
      <c r="D81" s="12"/>
      <c r="E81" s="14" t="s">
        <v>9</v>
      </c>
      <c r="F81" s="14">
        <v>50.8</v>
      </c>
      <c r="G81" s="12">
        <v>1</v>
      </c>
      <c r="H81" s="14">
        <f t="shared" si="2"/>
        <v>50.8</v>
      </c>
    </row>
    <row r="82" spans="1:8" ht="15.75" customHeight="1">
      <c r="A82" s="14">
        <f t="shared" si="3"/>
        <v>28</v>
      </c>
      <c r="B82" s="14">
        <v>138</v>
      </c>
      <c r="C82" s="12" t="s">
        <v>55</v>
      </c>
      <c r="D82" s="12"/>
      <c r="E82" s="14" t="s">
        <v>9</v>
      </c>
      <c r="F82" s="14">
        <v>50.8</v>
      </c>
      <c r="G82" s="12">
        <v>1</v>
      </c>
      <c r="H82" s="14">
        <f t="shared" si="2"/>
        <v>50.8</v>
      </c>
    </row>
    <row r="83" spans="1:8" ht="15.75" customHeight="1">
      <c r="A83" s="14">
        <f t="shared" si="3"/>
        <v>29</v>
      </c>
      <c r="B83" s="14">
        <v>139</v>
      </c>
      <c r="C83" s="12" t="s">
        <v>70</v>
      </c>
      <c r="D83" s="12"/>
      <c r="E83" s="14" t="s">
        <v>9</v>
      </c>
      <c r="F83" s="14">
        <v>50.8</v>
      </c>
      <c r="G83" s="12">
        <v>1</v>
      </c>
      <c r="H83" s="14">
        <f t="shared" si="2"/>
        <v>50.8</v>
      </c>
    </row>
    <row r="84" spans="1:8" ht="15.75" customHeight="1">
      <c r="A84" s="14">
        <f t="shared" si="3"/>
        <v>30</v>
      </c>
      <c r="B84" s="14">
        <v>141</v>
      </c>
      <c r="C84" s="12" t="s">
        <v>56</v>
      </c>
      <c r="D84" s="12"/>
      <c r="E84" s="14" t="s">
        <v>9</v>
      </c>
      <c r="F84" s="14">
        <v>50.8</v>
      </c>
      <c r="G84" s="12">
        <v>1</v>
      </c>
      <c r="H84" s="14">
        <f t="shared" si="2"/>
        <v>50.8</v>
      </c>
    </row>
    <row r="85" spans="1:8" ht="15.75" customHeight="1">
      <c r="A85" s="14">
        <f t="shared" si="3"/>
        <v>31</v>
      </c>
      <c r="B85" s="14">
        <v>145</v>
      </c>
      <c r="C85" s="12" t="s">
        <v>71</v>
      </c>
      <c r="D85" s="12"/>
      <c r="E85" s="14" t="s">
        <v>9</v>
      </c>
      <c r="F85" s="14">
        <v>50.8</v>
      </c>
      <c r="G85" s="12">
        <v>1</v>
      </c>
      <c r="H85" s="14">
        <f t="shared" si="2"/>
        <v>50.8</v>
      </c>
    </row>
    <row r="86" spans="1:8" ht="15.75" customHeight="1">
      <c r="A86" s="14">
        <f t="shared" si="3"/>
        <v>32</v>
      </c>
      <c r="B86" s="14">
        <v>147</v>
      </c>
      <c r="C86" s="12" t="s">
        <v>72</v>
      </c>
      <c r="D86" s="12"/>
      <c r="E86" s="14" t="s">
        <v>9</v>
      </c>
      <c r="F86" s="14">
        <v>50.8</v>
      </c>
      <c r="G86" s="12">
        <v>1</v>
      </c>
      <c r="H86" s="14">
        <f t="shared" si="2"/>
        <v>50.8</v>
      </c>
    </row>
    <row r="87" spans="1:8" ht="15.75" customHeight="1">
      <c r="F87" s="16" t="s">
        <v>73</v>
      </c>
      <c r="G87" s="10">
        <f>SUM(G55:G86)</f>
        <v>36</v>
      </c>
      <c r="H87" s="14">
        <f>SUM(H55:H86)</f>
        <v>1828.7999999999988</v>
      </c>
    </row>
    <row r="88" spans="1:8" ht="15.75" customHeight="1">
      <c r="H88" s="2"/>
    </row>
    <row r="89" spans="1:8" ht="15.75" customHeight="1"/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:F1"/>
    <mergeCell ref="C54:D54"/>
    <mergeCell ref="A3:B3"/>
    <mergeCell ref="A2:H2"/>
    <mergeCell ref="C3:H3"/>
    <mergeCell ref="A8:H8"/>
    <mergeCell ref="A53:H53"/>
    <mergeCell ref="C4:H4"/>
    <mergeCell ref="C5:H5"/>
    <mergeCell ref="C6:H6"/>
    <mergeCell ref="A4:B4"/>
    <mergeCell ref="A5:B5"/>
    <mergeCell ref="A6:B6"/>
  </mergeCells>
  <pageMargins left="1.299212598425197" right="0.70866141732283472" top="0.74803149606299213" bottom="0.74803149606299213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A16" workbookViewId="0">
      <selection activeCell="J33" sqref="J33"/>
    </sheetView>
  </sheetViews>
  <sheetFormatPr defaultColWidth="14.44140625" defaultRowHeight="15" customHeight="1"/>
  <cols>
    <col min="1" max="1" width="8.6640625" customWidth="1"/>
    <col min="2" max="2" width="33.88671875" customWidth="1"/>
    <col min="3" max="4" width="8.6640625" customWidth="1"/>
    <col min="5" max="5" width="9.44140625" customWidth="1"/>
    <col min="6" max="6" width="23.21875" customWidth="1"/>
  </cols>
  <sheetData>
    <row r="1" spans="1:8" ht="14.4">
      <c r="A1" s="7"/>
    </row>
    <row r="2" spans="1:8" ht="41.4" customHeight="1">
      <c r="A2" s="61" t="s">
        <v>0</v>
      </c>
      <c r="B2" s="61"/>
      <c r="C2" s="61"/>
      <c r="D2" s="61"/>
      <c r="E2" s="61"/>
      <c r="F2" s="61"/>
    </row>
    <row r="3" spans="1:8" ht="21">
      <c r="A3" s="60" t="s">
        <v>120</v>
      </c>
      <c r="B3" s="60"/>
      <c r="C3" s="53" t="s">
        <v>124</v>
      </c>
      <c r="D3" s="53"/>
      <c r="E3" s="53"/>
      <c r="F3" s="53"/>
      <c r="G3" s="20"/>
      <c r="H3" s="20"/>
    </row>
    <row r="4" spans="1:8" ht="15.6">
      <c r="A4" s="60" t="s">
        <v>123</v>
      </c>
      <c r="B4" s="60"/>
      <c r="C4" s="50" t="s">
        <v>127</v>
      </c>
      <c r="D4" s="50"/>
      <c r="E4" s="50"/>
      <c r="F4" s="50"/>
      <c r="G4" s="21"/>
      <c r="H4" s="21"/>
    </row>
    <row r="5" spans="1:8" ht="15.6">
      <c r="A5" s="60" t="s">
        <v>121</v>
      </c>
      <c r="B5" s="60"/>
      <c r="C5" s="50" t="s">
        <v>126</v>
      </c>
      <c r="D5" s="50"/>
      <c r="E5" s="50"/>
      <c r="F5" s="50"/>
      <c r="G5" s="21"/>
      <c r="H5" s="21"/>
    </row>
    <row r="6" spans="1:8" ht="15.6">
      <c r="A6" s="60" t="s">
        <v>122</v>
      </c>
      <c r="B6" s="60"/>
      <c r="C6" s="50">
        <v>9426915851</v>
      </c>
      <c r="D6" s="50"/>
      <c r="E6" s="50"/>
      <c r="F6" s="50"/>
      <c r="G6" s="21"/>
      <c r="H6" s="21"/>
    </row>
    <row r="7" spans="1:8" ht="14.4">
      <c r="A7" s="62" t="s">
        <v>74</v>
      </c>
      <c r="B7" s="62"/>
      <c r="C7" s="62"/>
      <c r="D7" s="62"/>
      <c r="E7" s="62"/>
      <c r="F7" s="62"/>
      <c r="G7" s="19"/>
      <c r="H7" s="19"/>
    </row>
    <row r="8" spans="1:8" ht="14.4">
      <c r="A8" s="25" t="s">
        <v>1</v>
      </c>
      <c r="B8" s="26" t="s">
        <v>3</v>
      </c>
      <c r="C8" s="26" t="s">
        <v>4</v>
      </c>
      <c r="D8" s="26" t="s">
        <v>5</v>
      </c>
      <c r="E8" s="26" t="s">
        <v>6</v>
      </c>
      <c r="F8" s="11" t="s">
        <v>7</v>
      </c>
    </row>
    <row r="9" spans="1:8" ht="14.4">
      <c r="A9" s="15">
        <v>1</v>
      </c>
      <c r="B9" s="12" t="s">
        <v>75</v>
      </c>
      <c r="C9" s="12" t="s">
        <v>76</v>
      </c>
      <c r="D9" s="12">
        <v>25.83</v>
      </c>
      <c r="E9" s="12">
        <v>24</v>
      </c>
      <c r="F9" s="12">
        <f t="shared" ref="F9:F17" si="0">D9*E9</f>
        <v>619.91999999999996</v>
      </c>
    </row>
    <row r="10" spans="1:8" ht="14.4">
      <c r="A10" s="15">
        <f t="shared" ref="A10:A17" si="1">A9+1</f>
        <v>2</v>
      </c>
      <c r="B10" s="12" t="s">
        <v>77</v>
      </c>
      <c r="C10" s="12" t="s">
        <v>76</v>
      </c>
      <c r="D10" s="12">
        <v>25.83</v>
      </c>
      <c r="E10" s="12">
        <v>60</v>
      </c>
      <c r="F10" s="12">
        <f t="shared" si="0"/>
        <v>1549.8</v>
      </c>
    </row>
    <row r="11" spans="1:8" ht="14.4">
      <c r="A11" s="15">
        <f t="shared" si="1"/>
        <v>3</v>
      </c>
      <c r="B11" s="12" t="s">
        <v>78</v>
      </c>
      <c r="C11" s="12" t="s">
        <v>76</v>
      </c>
      <c r="D11" s="12">
        <v>25.83</v>
      </c>
      <c r="E11" s="12">
        <v>60</v>
      </c>
      <c r="F11" s="12">
        <f t="shared" si="0"/>
        <v>1549.8</v>
      </c>
    </row>
    <row r="12" spans="1:8" ht="14.4">
      <c r="A12" s="15">
        <f t="shared" si="1"/>
        <v>4</v>
      </c>
      <c r="B12" s="12" t="s">
        <v>79</v>
      </c>
      <c r="C12" s="12" t="s">
        <v>76</v>
      </c>
      <c r="D12" s="12">
        <v>25.83</v>
      </c>
      <c r="E12" s="12">
        <v>60</v>
      </c>
      <c r="F12" s="12">
        <f t="shared" si="0"/>
        <v>1549.8</v>
      </c>
    </row>
    <row r="13" spans="1:8" ht="14.4">
      <c r="A13" s="15">
        <f t="shared" si="1"/>
        <v>5</v>
      </c>
      <c r="B13" s="12" t="s">
        <v>80</v>
      </c>
      <c r="C13" s="12" t="s">
        <v>76</v>
      </c>
      <c r="D13" s="12">
        <v>25.83</v>
      </c>
      <c r="E13" s="12">
        <v>12</v>
      </c>
      <c r="F13" s="12">
        <f t="shared" si="0"/>
        <v>309.95999999999998</v>
      </c>
    </row>
    <row r="14" spans="1:8" ht="14.4">
      <c r="A14" s="15">
        <f t="shared" si="1"/>
        <v>6</v>
      </c>
      <c r="B14" s="12" t="s">
        <v>81</v>
      </c>
      <c r="C14" s="12" t="s">
        <v>76</v>
      </c>
      <c r="D14" s="12">
        <v>25.83</v>
      </c>
      <c r="E14" s="12">
        <v>12</v>
      </c>
      <c r="F14" s="12">
        <f t="shared" si="0"/>
        <v>309.95999999999998</v>
      </c>
    </row>
    <row r="15" spans="1:8" ht="14.4">
      <c r="A15" s="15">
        <f t="shared" si="1"/>
        <v>7</v>
      </c>
      <c r="B15" s="12" t="s">
        <v>82</v>
      </c>
      <c r="C15" s="12" t="s">
        <v>76</v>
      </c>
      <c r="D15" s="12">
        <v>25.83</v>
      </c>
      <c r="E15" s="12">
        <v>36</v>
      </c>
      <c r="F15" s="12">
        <f t="shared" si="0"/>
        <v>929.87999999999988</v>
      </c>
    </row>
    <row r="16" spans="1:8" ht="14.4">
      <c r="A16" s="15">
        <f t="shared" si="1"/>
        <v>8</v>
      </c>
      <c r="B16" s="12" t="s">
        <v>83</v>
      </c>
      <c r="C16" s="12" t="s">
        <v>76</v>
      </c>
      <c r="D16" s="12">
        <v>25.83</v>
      </c>
      <c r="E16" s="12">
        <v>36</v>
      </c>
      <c r="F16" s="12">
        <f t="shared" si="0"/>
        <v>929.87999999999988</v>
      </c>
    </row>
    <row r="17" spans="1:6" ht="14.4">
      <c r="A17" s="15">
        <f t="shared" si="1"/>
        <v>9</v>
      </c>
      <c r="B17" s="12" t="s">
        <v>84</v>
      </c>
      <c r="C17" s="12" t="s">
        <v>76</v>
      </c>
      <c r="D17" s="12">
        <v>25.83</v>
      </c>
      <c r="E17" s="12">
        <v>60</v>
      </c>
      <c r="F17" s="12">
        <f t="shared" si="0"/>
        <v>1549.8</v>
      </c>
    </row>
    <row r="18" spans="1:6" ht="14.4">
      <c r="A18" s="60" t="s">
        <v>85</v>
      </c>
      <c r="B18" s="60"/>
      <c r="C18" s="60"/>
      <c r="D18" s="60"/>
      <c r="E18" s="60"/>
      <c r="F18" s="24">
        <f>SUM(F9:F17)</f>
        <v>9298.7999999999993</v>
      </c>
    </row>
    <row r="19" spans="1:6" ht="14.4">
      <c r="A19" s="7"/>
    </row>
    <row r="20" spans="1:6" ht="14.4">
      <c r="A20" s="7"/>
    </row>
    <row r="21" spans="1:6" ht="32.4" customHeight="1">
      <c r="A21" s="61" t="s">
        <v>0</v>
      </c>
      <c r="B21" s="61"/>
      <c r="C21" s="61"/>
      <c r="D21" s="61"/>
      <c r="E21" s="61"/>
      <c r="F21" s="61"/>
    </row>
    <row r="22" spans="1:6" ht="15.75" customHeight="1">
      <c r="A22" s="60" t="s">
        <v>120</v>
      </c>
      <c r="B22" s="60"/>
      <c r="C22" s="53" t="s">
        <v>124</v>
      </c>
      <c r="D22" s="53"/>
      <c r="E22" s="53"/>
      <c r="F22" s="53"/>
    </row>
    <row r="23" spans="1:6" ht="15.75" customHeight="1">
      <c r="A23" s="60" t="s">
        <v>123</v>
      </c>
      <c r="B23" s="60"/>
      <c r="C23" s="50" t="s">
        <v>127</v>
      </c>
      <c r="D23" s="50"/>
      <c r="E23" s="50"/>
      <c r="F23" s="50"/>
    </row>
    <row r="24" spans="1:6" ht="15.75" customHeight="1">
      <c r="A24" s="60" t="s">
        <v>121</v>
      </c>
      <c r="B24" s="60"/>
      <c r="C24" s="50" t="s">
        <v>126</v>
      </c>
      <c r="D24" s="50"/>
      <c r="E24" s="50"/>
      <c r="F24" s="50"/>
    </row>
    <row r="25" spans="1:6" ht="15.75" customHeight="1" thickBot="1">
      <c r="A25" s="60" t="s">
        <v>122</v>
      </c>
      <c r="B25" s="60"/>
      <c r="C25" s="50">
        <v>9426915851</v>
      </c>
      <c r="D25" s="50"/>
      <c r="E25" s="50"/>
      <c r="F25" s="50"/>
    </row>
    <row r="26" spans="1:6" ht="15.75" customHeight="1" thickTop="1" thickBot="1">
      <c r="A26" s="56" t="s">
        <v>86</v>
      </c>
      <c r="B26" s="56"/>
      <c r="C26" s="56"/>
      <c r="D26" s="56"/>
      <c r="E26" s="56"/>
      <c r="F26" s="56"/>
    </row>
    <row r="27" spans="1:6" ht="15.75" customHeight="1" thickTop="1">
      <c r="A27" s="22" t="s">
        <v>1</v>
      </c>
      <c r="B27" s="22" t="s">
        <v>3</v>
      </c>
      <c r="C27" s="22" t="s">
        <v>4</v>
      </c>
      <c r="D27" s="22" t="s">
        <v>5</v>
      </c>
      <c r="E27" s="22" t="s">
        <v>6</v>
      </c>
      <c r="F27" s="22" t="s">
        <v>7</v>
      </c>
    </row>
    <row r="28" spans="1:6" ht="15.75" customHeight="1">
      <c r="A28" s="5">
        <v>1</v>
      </c>
      <c r="B28" s="5" t="s">
        <v>87</v>
      </c>
      <c r="C28" s="5" t="s">
        <v>88</v>
      </c>
      <c r="D28" s="5">
        <v>206.64</v>
      </c>
      <c r="E28" s="5">
        <v>2</v>
      </c>
      <c r="F28" s="5">
        <f t="shared" ref="F28:F36" si="2">D28*E28</f>
        <v>413.28</v>
      </c>
    </row>
    <row r="29" spans="1:6" ht="15.75" customHeight="1">
      <c r="A29" s="5">
        <f t="shared" ref="A29:A36" si="3">A28+1</f>
        <v>2</v>
      </c>
      <c r="B29" s="5" t="s">
        <v>89</v>
      </c>
      <c r="C29" s="5" t="s">
        <v>88</v>
      </c>
      <c r="D29" s="5">
        <v>206.64</v>
      </c>
      <c r="E29" s="5">
        <v>1</v>
      </c>
      <c r="F29" s="5">
        <f t="shared" si="2"/>
        <v>206.64</v>
      </c>
    </row>
    <row r="30" spans="1:6" ht="15.75" customHeight="1">
      <c r="A30" s="5">
        <f t="shared" si="3"/>
        <v>3</v>
      </c>
      <c r="B30" s="5" t="s">
        <v>90</v>
      </c>
      <c r="C30" s="5" t="s">
        <v>88</v>
      </c>
      <c r="D30" s="5">
        <v>206.64</v>
      </c>
      <c r="E30" s="5">
        <v>2</v>
      </c>
      <c r="F30" s="5">
        <f t="shared" si="2"/>
        <v>413.28</v>
      </c>
    </row>
    <row r="31" spans="1:6" ht="15.75" customHeight="1">
      <c r="A31" s="5">
        <f t="shared" si="3"/>
        <v>4</v>
      </c>
      <c r="B31" s="5" t="s">
        <v>91</v>
      </c>
      <c r="C31" s="5" t="s">
        <v>88</v>
      </c>
      <c r="D31" s="5">
        <v>206.64</v>
      </c>
      <c r="E31" s="5"/>
      <c r="F31" s="5">
        <f t="shared" si="2"/>
        <v>0</v>
      </c>
    </row>
    <row r="32" spans="1:6" ht="15.75" customHeight="1">
      <c r="A32" s="5">
        <f t="shared" si="3"/>
        <v>5</v>
      </c>
      <c r="B32" s="5" t="s">
        <v>92</v>
      </c>
      <c r="C32" s="5" t="s">
        <v>88</v>
      </c>
      <c r="D32" s="5">
        <v>206.64</v>
      </c>
      <c r="E32" s="5">
        <v>2</v>
      </c>
      <c r="F32" s="5">
        <f t="shared" si="2"/>
        <v>413.28</v>
      </c>
    </row>
    <row r="33" spans="1:6" ht="15.75" customHeight="1">
      <c r="A33" s="5">
        <f t="shared" si="3"/>
        <v>6</v>
      </c>
      <c r="B33" s="5" t="s">
        <v>93</v>
      </c>
      <c r="C33" s="5" t="s">
        <v>88</v>
      </c>
      <c r="D33" s="5">
        <v>206.64</v>
      </c>
      <c r="E33" s="5"/>
      <c r="F33" s="5">
        <f t="shared" si="2"/>
        <v>0</v>
      </c>
    </row>
    <row r="34" spans="1:6" ht="15.75" customHeight="1">
      <c r="A34" s="5">
        <f t="shared" si="3"/>
        <v>7</v>
      </c>
      <c r="B34" s="5" t="s">
        <v>94</v>
      </c>
      <c r="C34" s="5" t="s">
        <v>88</v>
      </c>
      <c r="D34" s="5">
        <v>206.64</v>
      </c>
      <c r="E34" s="5">
        <v>2</v>
      </c>
      <c r="F34" s="5">
        <f t="shared" si="2"/>
        <v>413.28</v>
      </c>
    </row>
    <row r="35" spans="1:6" ht="15.75" customHeight="1">
      <c r="A35" s="5">
        <f t="shared" si="3"/>
        <v>8</v>
      </c>
      <c r="B35" s="5" t="s">
        <v>95</v>
      </c>
      <c r="C35" s="5" t="s">
        <v>88</v>
      </c>
      <c r="D35" s="5">
        <v>206.64</v>
      </c>
      <c r="E35" s="5"/>
      <c r="F35" s="5">
        <f t="shared" si="2"/>
        <v>0</v>
      </c>
    </row>
    <row r="36" spans="1:6" ht="15.75" customHeight="1">
      <c r="A36" s="5">
        <f t="shared" si="3"/>
        <v>9</v>
      </c>
      <c r="B36" s="5" t="s">
        <v>96</v>
      </c>
      <c r="C36" s="5" t="s">
        <v>88</v>
      </c>
      <c r="D36" s="5">
        <v>206.64</v>
      </c>
      <c r="E36" s="5">
        <v>2</v>
      </c>
      <c r="F36" s="5">
        <f t="shared" si="2"/>
        <v>413.28</v>
      </c>
    </row>
    <row r="37" spans="1:6" ht="15.75" customHeight="1">
      <c r="A37" s="5">
        <v>10</v>
      </c>
      <c r="B37" s="5" t="s">
        <v>97</v>
      </c>
      <c r="C37" s="5" t="s">
        <v>88</v>
      </c>
      <c r="D37" s="5">
        <v>206.64</v>
      </c>
      <c r="E37" s="5"/>
      <c r="F37" s="5">
        <f t="shared" ref="F37:F38" si="4">+D37*E37</f>
        <v>0</v>
      </c>
    </row>
    <row r="38" spans="1:6" ht="15.75" customHeight="1">
      <c r="A38" s="23">
        <v>11</v>
      </c>
      <c r="B38" s="23" t="s">
        <v>98</v>
      </c>
      <c r="C38" s="23" t="s">
        <v>88</v>
      </c>
      <c r="D38" s="23">
        <v>206.64</v>
      </c>
      <c r="E38" s="23"/>
      <c r="F38" s="23">
        <f t="shared" si="4"/>
        <v>0</v>
      </c>
    </row>
    <row r="39" spans="1:6" ht="15.75" customHeight="1">
      <c r="A39" s="57" t="s">
        <v>7</v>
      </c>
      <c r="B39" s="58"/>
      <c r="C39" s="58"/>
      <c r="D39" s="58"/>
      <c r="E39" s="59"/>
      <c r="F39" s="18">
        <f>SUM(F28:F38)</f>
        <v>2273.04</v>
      </c>
    </row>
    <row r="40" spans="1:6" ht="15.75" customHeight="1">
      <c r="A40" s="7"/>
    </row>
    <row r="41" spans="1:6" ht="15.75" customHeight="1">
      <c r="A41" s="7"/>
    </row>
    <row r="42" spans="1:6" ht="15.75" customHeight="1">
      <c r="A42" s="7"/>
    </row>
    <row r="43" spans="1:6" ht="15.75" customHeight="1">
      <c r="A43" s="7"/>
    </row>
    <row r="44" spans="1:6" ht="15.75" customHeight="1">
      <c r="A44" s="7"/>
    </row>
    <row r="45" spans="1:6" ht="15.75" customHeight="1">
      <c r="A45" s="7"/>
    </row>
    <row r="46" spans="1:6" ht="15.75" customHeight="1">
      <c r="A46" s="7"/>
    </row>
    <row r="47" spans="1:6" ht="15.75" customHeight="1">
      <c r="A47" s="7"/>
    </row>
    <row r="48" spans="1:6" ht="15.75" customHeight="1">
      <c r="A48" s="7"/>
    </row>
    <row r="49" spans="1:1" ht="15.75" customHeight="1">
      <c r="A49" s="7"/>
    </row>
    <row r="50" spans="1:1" ht="15.75" customHeight="1">
      <c r="A50" s="7"/>
    </row>
    <row r="51" spans="1:1" ht="15.75" customHeight="1">
      <c r="A51" s="7"/>
    </row>
    <row r="52" spans="1:1" ht="15.75" customHeight="1">
      <c r="A52" s="7"/>
    </row>
    <row r="53" spans="1:1" ht="15.75" customHeight="1">
      <c r="A53" s="7"/>
    </row>
    <row r="54" spans="1:1" ht="15.75" customHeight="1">
      <c r="A54" s="7"/>
    </row>
    <row r="55" spans="1:1" ht="15.75" customHeight="1">
      <c r="A55" s="7"/>
    </row>
    <row r="56" spans="1:1" ht="15.75" customHeight="1">
      <c r="A56" s="7"/>
    </row>
    <row r="57" spans="1:1" ht="15.75" customHeight="1">
      <c r="A57" s="7"/>
    </row>
    <row r="58" spans="1:1" ht="15.75" customHeight="1">
      <c r="A58" s="7"/>
    </row>
    <row r="59" spans="1:1" ht="15.75" customHeight="1">
      <c r="A59" s="7"/>
    </row>
    <row r="60" spans="1:1" ht="15.75" customHeight="1">
      <c r="A60" s="7"/>
    </row>
    <row r="61" spans="1:1" ht="15.75" customHeight="1">
      <c r="A61" s="7"/>
    </row>
    <row r="62" spans="1:1" ht="15.75" customHeight="1">
      <c r="A62" s="7"/>
    </row>
    <row r="63" spans="1:1" ht="15.75" customHeight="1">
      <c r="A63" s="7"/>
    </row>
    <row r="64" spans="1:1" ht="15.75" customHeight="1">
      <c r="A64" s="7"/>
    </row>
    <row r="65" spans="1:1" ht="15.75" customHeight="1">
      <c r="A65" s="7"/>
    </row>
    <row r="66" spans="1:1" ht="15.75" customHeight="1">
      <c r="A66" s="7"/>
    </row>
    <row r="67" spans="1:1" ht="15.75" customHeight="1">
      <c r="A67" s="7"/>
    </row>
    <row r="68" spans="1:1" ht="15.75" customHeight="1">
      <c r="A68" s="7"/>
    </row>
    <row r="69" spans="1:1" ht="15.75" customHeight="1">
      <c r="A69" s="7"/>
    </row>
    <row r="70" spans="1:1" ht="15.75" customHeight="1">
      <c r="A70" s="7"/>
    </row>
    <row r="71" spans="1:1" ht="15.75" customHeight="1">
      <c r="A71" s="7"/>
    </row>
    <row r="72" spans="1:1" ht="15.75" customHeight="1">
      <c r="A72" s="7"/>
    </row>
    <row r="73" spans="1:1" ht="15.75" customHeight="1">
      <c r="A73" s="7"/>
    </row>
    <row r="74" spans="1:1" ht="15.75" customHeight="1">
      <c r="A74" s="7"/>
    </row>
    <row r="75" spans="1:1" ht="15.75" customHeight="1">
      <c r="A75" s="7"/>
    </row>
    <row r="76" spans="1:1" ht="15.75" customHeight="1">
      <c r="A76" s="7"/>
    </row>
    <row r="77" spans="1:1" ht="15.75" customHeight="1">
      <c r="A77" s="7"/>
    </row>
    <row r="78" spans="1:1" ht="15.75" customHeight="1">
      <c r="A78" s="7"/>
    </row>
    <row r="79" spans="1:1" ht="15.75" customHeight="1">
      <c r="A79" s="7"/>
    </row>
    <row r="80" spans="1:1" ht="15.75" customHeight="1">
      <c r="A80" s="7"/>
    </row>
    <row r="81" spans="1:1" ht="15.75" customHeight="1">
      <c r="A81" s="7"/>
    </row>
    <row r="82" spans="1:1" ht="15.75" customHeight="1">
      <c r="A82" s="7"/>
    </row>
    <row r="83" spans="1:1" ht="15.75" customHeight="1">
      <c r="A83" s="7"/>
    </row>
    <row r="84" spans="1:1" ht="15.75" customHeight="1">
      <c r="A84" s="7"/>
    </row>
    <row r="85" spans="1:1" ht="15.75" customHeight="1">
      <c r="A85" s="7"/>
    </row>
    <row r="86" spans="1:1" ht="15.75" customHeight="1">
      <c r="A86" s="7"/>
    </row>
    <row r="87" spans="1:1" ht="15.75" customHeight="1">
      <c r="A87" s="7"/>
    </row>
    <row r="88" spans="1:1" ht="15.75" customHeight="1">
      <c r="A88" s="7"/>
    </row>
    <row r="89" spans="1:1" ht="15.75" customHeight="1">
      <c r="A89" s="7"/>
    </row>
    <row r="90" spans="1:1" ht="15.75" customHeight="1">
      <c r="A90" s="7"/>
    </row>
    <row r="91" spans="1:1" ht="15.75" customHeight="1">
      <c r="A91" s="7"/>
    </row>
    <row r="92" spans="1:1" ht="15.75" customHeight="1">
      <c r="A92" s="7"/>
    </row>
    <row r="93" spans="1:1" ht="15.75" customHeight="1">
      <c r="A93" s="7"/>
    </row>
    <row r="94" spans="1:1" ht="15.75" customHeight="1">
      <c r="A94" s="7"/>
    </row>
    <row r="95" spans="1:1" ht="15.75" customHeight="1">
      <c r="A95" s="7"/>
    </row>
    <row r="96" spans="1:1" ht="15.75" customHeight="1">
      <c r="A96" s="7"/>
    </row>
    <row r="97" spans="1:1" ht="15.75" customHeight="1">
      <c r="A97" s="7"/>
    </row>
    <row r="98" spans="1:1" ht="15.75" customHeight="1">
      <c r="A98" s="7"/>
    </row>
    <row r="99" spans="1:1" ht="15.75" customHeight="1">
      <c r="A99" s="7"/>
    </row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:F2"/>
    <mergeCell ref="A7:F7"/>
    <mergeCell ref="A18:E18"/>
    <mergeCell ref="A21:F21"/>
    <mergeCell ref="A22:B22"/>
    <mergeCell ref="C22:F22"/>
    <mergeCell ref="A6:B6"/>
    <mergeCell ref="C4:F4"/>
    <mergeCell ref="C5:F5"/>
    <mergeCell ref="C6:F6"/>
    <mergeCell ref="A3:B3"/>
    <mergeCell ref="A4:B4"/>
    <mergeCell ref="A5:B5"/>
    <mergeCell ref="C3:F3"/>
    <mergeCell ref="A26:F26"/>
    <mergeCell ref="A39:E39"/>
    <mergeCell ref="A23:B23"/>
    <mergeCell ref="C23:F23"/>
    <mergeCell ref="A24:B24"/>
    <mergeCell ref="C24:F24"/>
    <mergeCell ref="A25:B25"/>
    <mergeCell ref="C25:F25"/>
  </mergeCells>
  <pageMargins left="1.1023622047244095" right="1.1023622047244095" top="1.1023622047244095" bottom="1.1023622047244095" header="1.1023622047244095" footer="1.102362204724409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00"/>
  <sheetViews>
    <sheetView workbookViewId="0">
      <selection activeCell="A2" sqref="A2:F6"/>
    </sheetView>
  </sheetViews>
  <sheetFormatPr defaultColWidth="14.44140625" defaultRowHeight="15" customHeight="1"/>
  <cols>
    <col min="1" max="1" width="8.6640625" customWidth="1"/>
    <col min="2" max="2" width="30.5546875" customWidth="1"/>
    <col min="3" max="4" width="8.6640625" customWidth="1"/>
    <col min="5" max="5" width="9.77734375" bestFit="1" customWidth="1"/>
    <col min="6" max="6" width="22.77734375" customWidth="1"/>
  </cols>
  <sheetData>
    <row r="2" spans="1:6" ht="28.8">
      <c r="A2" s="61" t="s">
        <v>0</v>
      </c>
      <c r="B2" s="61"/>
      <c r="C2" s="61"/>
      <c r="D2" s="61"/>
      <c r="E2" s="61"/>
      <c r="F2" s="61"/>
    </row>
    <row r="3" spans="1:6" ht="21">
      <c r="A3" s="60" t="s">
        <v>120</v>
      </c>
      <c r="B3" s="60"/>
      <c r="C3" s="53" t="s">
        <v>124</v>
      </c>
      <c r="D3" s="53"/>
      <c r="E3" s="53"/>
      <c r="F3" s="53"/>
    </row>
    <row r="4" spans="1:6" ht="14.4">
      <c r="A4" s="60" t="s">
        <v>123</v>
      </c>
      <c r="B4" s="60"/>
      <c r="C4" s="50" t="s">
        <v>127</v>
      </c>
      <c r="D4" s="50"/>
      <c r="E4" s="50"/>
      <c r="F4" s="50"/>
    </row>
    <row r="5" spans="1:6" ht="14.4">
      <c r="A5" s="60" t="s">
        <v>121</v>
      </c>
      <c r="B5" s="60"/>
      <c r="C5" s="50" t="s">
        <v>126</v>
      </c>
      <c r="D5" s="50"/>
      <c r="E5" s="50"/>
      <c r="F5" s="50"/>
    </row>
    <row r="6" spans="1:6" thickBot="1">
      <c r="A6" s="60" t="s">
        <v>122</v>
      </c>
      <c r="B6" s="60"/>
      <c r="C6" s="50">
        <v>9426915851</v>
      </c>
      <c r="D6" s="50"/>
      <c r="E6" s="50"/>
      <c r="F6" s="50"/>
    </row>
    <row r="7" spans="1:6" ht="15" customHeight="1" thickTop="1" thickBot="1">
      <c r="A7" s="56" t="s">
        <v>86</v>
      </c>
      <c r="B7" s="56"/>
      <c r="C7" s="56"/>
      <c r="D7" s="56"/>
      <c r="E7" s="56"/>
      <c r="F7" s="56"/>
    </row>
    <row r="8" spans="1:6" thickTop="1">
      <c r="A8" s="22" t="s">
        <v>1</v>
      </c>
      <c r="B8" s="22" t="s">
        <v>3</v>
      </c>
      <c r="C8" s="22" t="s">
        <v>4</v>
      </c>
      <c r="D8" s="22" t="s">
        <v>5</v>
      </c>
      <c r="E8" s="22" t="s">
        <v>6</v>
      </c>
      <c r="F8" s="22" t="s">
        <v>7</v>
      </c>
    </row>
    <row r="9" spans="1:6" ht="14.4">
      <c r="A9" s="5">
        <v>1</v>
      </c>
      <c r="B9" s="5" t="s">
        <v>87</v>
      </c>
      <c r="C9" s="5" t="s">
        <v>88</v>
      </c>
      <c r="D9" s="5">
        <v>206.64</v>
      </c>
      <c r="E9" s="5">
        <v>2</v>
      </c>
      <c r="F9" s="5">
        <f t="shared" ref="F9:F17" si="0">D9*E9</f>
        <v>413.28</v>
      </c>
    </row>
    <row r="10" spans="1:6" ht="14.4">
      <c r="A10" s="5">
        <f t="shared" ref="A10:A17" si="1">A9+1</f>
        <v>2</v>
      </c>
      <c r="B10" s="5" t="s">
        <v>89</v>
      </c>
      <c r="C10" s="5" t="s">
        <v>88</v>
      </c>
      <c r="D10" s="5">
        <v>206.64</v>
      </c>
      <c r="E10" s="5">
        <v>1</v>
      </c>
      <c r="F10" s="5">
        <f t="shared" si="0"/>
        <v>206.64</v>
      </c>
    </row>
    <row r="11" spans="1:6" ht="14.4">
      <c r="A11" s="5">
        <f t="shared" si="1"/>
        <v>3</v>
      </c>
      <c r="B11" s="5" t="s">
        <v>90</v>
      </c>
      <c r="C11" s="5" t="s">
        <v>88</v>
      </c>
      <c r="D11" s="5">
        <v>206.64</v>
      </c>
      <c r="E11" s="5">
        <v>2</v>
      </c>
      <c r="F11" s="5">
        <f t="shared" si="0"/>
        <v>413.28</v>
      </c>
    </row>
    <row r="12" spans="1:6" ht="14.4">
      <c r="A12" s="5">
        <f t="shared" si="1"/>
        <v>4</v>
      </c>
      <c r="B12" s="5" t="s">
        <v>91</v>
      </c>
      <c r="C12" s="5" t="s">
        <v>88</v>
      </c>
      <c r="D12" s="5">
        <v>206.64</v>
      </c>
      <c r="E12" s="5"/>
      <c r="F12" s="5">
        <f t="shared" si="0"/>
        <v>0</v>
      </c>
    </row>
    <row r="13" spans="1:6" ht="14.4">
      <c r="A13" s="5">
        <f t="shared" si="1"/>
        <v>5</v>
      </c>
      <c r="B13" s="5" t="s">
        <v>92</v>
      </c>
      <c r="C13" s="5" t="s">
        <v>88</v>
      </c>
      <c r="D13" s="5">
        <v>206.64</v>
      </c>
      <c r="E13" s="5">
        <v>2</v>
      </c>
      <c r="F13" s="5">
        <f t="shared" si="0"/>
        <v>413.28</v>
      </c>
    </row>
    <row r="14" spans="1:6" ht="14.4">
      <c r="A14" s="5">
        <f t="shared" si="1"/>
        <v>6</v>
      </c>
      <c r="B14" s="5" t="s">
        <v>93</v>
      </c>
      <c r="C14" s="5" t="s">
        <v>88</v>
      </c>
      <c r="D14" s="5">
        <v>206.64</v>
      </c>
      <c r="E14" s="5"/>
      <c r="F14" s="5">
        <f t="shared" si="0"/>
        <v>0</v>
      </c>
    </row>
    <row r="15" spans="1:6" ht="14.4">
      <c r="A15" s="5">
        <f t="shared" si="1"/>
        <v>7</v>
      </c>
      <c r="B15" s="5" t="s">
        <v>94</v>
      </c>
      <c r="C15" s="5" t="s">
        <v>88</v>
      </c>
      <c r="D15" s="5">
        <v>206.64</v>
      </c>
      <c r="E15" s="5">
        <v>2</v>
      </c>
      <c r="F15" s="5">
        <f t="shared" si="0"/>
        <v>413.28</v>
      </c>
    </row>
    <row r="16" spans="1:6" ht="14.4">
      <c r="A16" s="5">
        <f t="shared" si="1"/>
        <v>8</v>
      </c>
      <c r="B16" s="5" t="s">
        <v>95</v>
      </c>
      <c r="C16" s="5" t="s">
        <v>88</v>
      </c>
      <c r="D16" s="5">
        <v>206.64</v>
      </c>
      <c r="E16" s="5"/>
      <c r="F16" s="5">
        <f t="shared" si="0"/>
        <v>0</v>
      </c>
    </row>
    <row r="17" spans="1:6" ht="14.4">
      <c r="A17" s="5">
        <f t="shared" si="1"/>
        <v>9</v>
      </c>
      <c r="B17" s="5" t="s">
        <v>96</v>
      </c>
      <c r="C17" s="5" t="s">
        <v>88</v>
      </c>
      <c r="D17" s="5">
        <v>206.64</v>
      </c>
      <c r="E17" s="5">
        <v>2</v>
      </c>
      <c r="F17" s="5">
        <f t="shared" si="0"/>
        <v>413.28</v>
      </c>
    </row>
    <row r="18" spans="1:6" ht="14.4">
      <c r="A18" s="5">
        <v>10</v>
      </c>
      <c r="B18" s="5" t="s">
        <v>97</v>
      </c>
      <c r="C18" s="5" t="s">
        <v>88</v>
      </c>
      <c r="D18" s="5">
        <v>206.64</v>
      </c>
      <c r="E18" s="5"/>
      <c r="F18" s="5">
        <f t="shared" ref="F18:F19" si="2">+D18*E18</f>
        <v>0</v>
      </c>
    </row>
    <row r="19" spans="1:6" ht="14.4">
      <c r="A19" s="23">
        <v>11</v>
      </c>
      <c r="B19" s="23" t="s">
        <v>98</v>
      </c>
      <c r="C19" s="23" t="s">
        <v>88</v>
      </c>
      <c r="D19" s="23">
        <v>206.64</v>
      </c>
      <c r="E19" s="23"/>
      <c r="F19" s="23">
        <f t="shared" si="2"/>
        <v>0</v>
      </c>
    </row>
    <row r="20" spans="1:6" ht="14.4">
      <c r="A20" s="57" t="s">
        <v>7</v>
      </c>
      <c r="B20" s="58"/>
      <c r="C20" s="58"/>
      <c r="D20" s="58"/>
      <c r="E20" s="59"/>
      <c r="F20" s="18">
        <f>SUM(F9:F19)</f>
        <v>2273.04</v>
      </c>
    </row>
    <row r="21" spans="1:6" ht="15.75" customHeight="1"/>
    <row r="22" spans="1:6" ht="15.75" customHeight="1">
      <c r="B22" s="3"/>
    </row>
    <row r="23" spans="1:6" ht="15.75" customHeight="1">
      <c r="A23" s="27"/>
      <c r="B23" s="27"/>
      <c r="C23" s="27"/>
      <c r="D23" s="27"/>
      <c r="E23" s="27"/>
      <c r="F23" s="28"/>
    </row>
    <row r="24" spans="1:6" ht="15.75" customHeight="1">
      <c r="A24" s="29"/>
      <c r="B24" s="29"/>
      <c r="C24" s="29"/>
      <c r="D24" s="29"/>
      <c r="E24" s="29"/>
      <c r="F24" s="29"/>
    </row>
    <row r="25" spans="1:6" ht="15.75" customHeight="1">
      <c r="A25" s="29"/>
      <c r="B25" s="29"/>
      <c r="C25" s="29"/>
      <c r="D25" s="29"/>
      <c r="E25" s="29"/>
      <c r="F25" s="29"/>
    </row>
    <row r="26" spans="1:6" ht="15.75" customHeight="1">
      <c r="A26" s="29"/>
      <c r="B26" s="29"/>
      <c r="C26" s="29"/>
      <c r="D26" s="29"/>
      <c r="E26" s="29"/>
      <c r="F26" s="29"/>
    </row>
    <row r="27" spans="1:6" ht="15.75" customHeight="1">
      <c r="A27" s="29"/>
      <c r="B27" s="29"/>
      <c r="C27" s="29"/>
      <c r="D27" s="29"/>
      <c r="E27" s="29"/>
      <c r="F27" s="29"/>
    </row>
    <row r="28" spans="1:6" ht="15.75" customHeight="1">
      <c r="A28" s="29"/>
      <c r="B28" s="29"/>
      <c r="C28" s="29"/>
      <c r="D28" s="29"/>
      <c r="E28" s="29"/>
      <c r="F28" s="29"/>
    </row>
    <row r="29" spans="1:6" ht="15.75" customHeight="1">
      <c r="A29" s="29"/>
      <c r="B29" s="29"/>
      <c r="C29" s="29"/>
      <c r="D29" s="29"/>
      <c r="E29" s="29"/>
      <c r="F29" s="29"/>
    </row>
    <row r="30" spans="1:6" ht="15.75" customHeight="1">
      <c r="A30" s="29"/>
      <c r="B30" s="29"/>
      <c r="C30" s="29"/>
      <c r="D30" s="29"/>
      <c r="E30" s="29"/>
      <c r="F30" s="29"/>
    </row>
    <row r="31" spans="1:6" ht="15.75" customHeight="1">
      <c r="A31" s="29"/>
      <c r="B31" s="29"/>
      <c r="C31" s="29"/>
      <c r="D31" s="29"/>
      <c r="E31" s="29"/>
      <c r="F31" s="29"/>
    </row>
    <row r="32" spans="1:6" ht="15.75" customHeight="1">
      <c r="A32" s="29"/>
      <c r="B32" s="29"/>
      <c r="C32" s="29"/>
      <c r="D32" s="29"/>
      <c r="E32" s="29"/>
      <c r="F32" s="29"/>
    </row>
    <row r="33" spans="1:6" ht="15.75" customHeight="1">
      <c r="A33" s="29"/>
      <c r="B33" s="29"/>
      <c r="C33" s="29"/>
      <c r="D33" s="29"/>
      <c r="E33" s="29"/>
      <c r="F33" s="29"/>
    </row>
    <row r="34" spans="1:6" ht="15.75" customHeight="1">
      <c r="A34" s="29"/>
      <c r="B34" s="29"/>
      <c r="C34" s="29"/>
      <c r="D34" s="29"/>
      <c r="E34" s="29"/>
      <c r="F34" s="29"/>
    </row>
    <row r="35" spans="1:6" ht="15.75" customHeight="1">
      <c r="A35" s="19"/>
      <c r="B35" s="29"/>
      <c r="C35" s="19"/>
      <c r="D35" s="19"/>
      <c r="E35" s="19"/>
      <c r="F35" s="30"/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:B6"/>
    <mergeCell ref="C6:F6"/>
    <mergeCell ref="A7:F7"/>
    <mergeCell ref="A20:E20"/>
    <mergeCell ref="A2:F2"/>
    <mergeCell ref="A3:B3"/>
    <mergeCell ref="C3:F3"/>
    <mergeCell ref="A4:B4"/>
    <mergeCell ref="C4:F4"/>
    <mergeCell ref="A5:B5"/>
    <mergeCell ref="C5:F5"/>
  </mergeCells>
  <pageMargins left="0.7" right="0.7" top="0.75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opLeftCell="B4" workbookViewId="0">
      <selection activeCell="B10" sqref="B10"/>
    </sheetView>
  </sheetViews>
  <sheetFormatPr defaultColWidth="14.44140625" defaultRowHeight="15" customHeight="1"/>
  <cols>
    <col min="1" max="1" width="8.6640625" customWidth="1"/>
    <col min="2" max="2" width="27.5546875" customWidth="1"/>
    <col min="3" max="3" width="21.6640625" customWidth="1"/>
    <col min="4" max="4" width="22.5546875" customWidth="1"/>
    <col min="5" max="6" width="8.6640625" customWidth="1"/>
    <col min="8" max="8" width="20.44140625" customWidth="1"/>
    <col min="9" max="9" width="14.44140625" customWidth="1"/>
    <col min="10" max="10" width="3" customWidth="1"/>
    <col min="11" max="11" width="22.88671875" customWidth="1"/>
  </cols>
  <sheetData>
    <row r="1" spans="1:13" ht="14.4">
      <c r="A1" s="6"/>
    </row>
    <row r="2" spans="1:13" ht="28.8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ht="24.75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3" ht="24.75" customHeight="1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24.75" customHeight="1" thickTop="1" thickBot="1">
      <c r="B5" s="9"/>
      <c r="C5" s="9"/>
      <c r="D5" s="9"/>
      <c r="E5" s="9"/>
      <c r="F5" s="9"/>
      <c r="G5" s="9"/>
      <c r="H5" s="69" t="s">
        <v>0</v>
      </c>
      <c r="I5" s="70"/>
      <c r="J5" s="70"/>
      <c r="K5" s="70"/>
      <c r="L5" s="70"/>
      <c r="M5" s="71"/>
    </row>
    <row r="6" spans="1:13" ht="24.75" customHeight="1" thickTop="1" thickBot="1">
      <c r="B6" s="9"/>
      <c r="C6" s="9"/>
      <c r="D6" s="9"/>
      <c r="E6" s="9"/>
      <c r="F6" s="9"/>
      <c r="G6" s="9"/>
      <c r="H6" s="72" t="s">
        <v>120</v>
      </c>
      <c r="I6" s="73"/>
      <c r="J6" s="81" t="s">
        <v>124</v>
      </c>
      <c r="K6" s="82"/>
      <c r="L6" s="82"/>
      <c r="M6" s="83"/>
    </row>
    <row r="7" spans="1:13" ht="18" customHeight="1" thickTop="1" thickBot="1">
      <c r="B7" s="9"/>
      <c r="C7" s="9"/>
      <c r="D7" s="9"/>
      <c r="E7" s="9"/>
      <c r="F7" s="9"/>
      <c r="G7" s="9"/>
      <c r="H7" s="72" t="s">
        <v>123</v>
      </c>
      <c r="I7" s="73"/>
      <c r="J7" s="72" t="s">
        <v>127</v>
      </c>
      <c r="K7" s="80"/>
      <c r="L7" s="80"/>
      <c r="M7" s="73"/>
    </row>
    <row r="8" spans="1:13" ht="21" customHeight="1" thickTop="1" thickBot="1">
      <c r="B8" s="9"/>
      <c r="C8" s="9"/>
      <c r="D8" s="9"/>
      <c r="E8" s="9"/>
      <c r="F8" s="9"/>
      <c r="G8" s="9"/>
      <c r="H8" s="72" t="s">
        <v>121</v>
      </c>
      <c r="I8" s="73"/>
      <c r="J8" s="84" t="s">
        <v>126</v>
      </c>
      <c r="K8" s="85"/>
      <c r="L8" s="85"/>
      <c r="M8" s="86"/>
    </row>
    <row r="9" spans="1:13" ht="19.2" thickTop="1" thickBot="1">
      <c r="B9" s="9"/>
      <c r="C9" s="9"/>
      <c r="D9" s="9"/>
      <c r="E9" s="9"/>
      <c r="F9" s="9"/>
      <c r="G9" s="9"/>
      <c r="H9" s="72" t="s">
        <v>122</v>
      </c>
      <c r="I9" s="73"/>
      <c r="J9" s="77">
        <v>9426915851</v>
      </c>
      <c r="K9" s="78"/>
      <c r="L9" s="78"/>
      <c r="M9" s="79"/>
    </row>
    <row r="10" spans="1:13" ht="36" customHeight="1" thickTop="1" thickBot="1">
      <c r="B10" s="9"/>
      <c r="C10" s="9"/>
      <c r="D10" s="9"/>
      <c r="E10" s="9"/>
      <c r="F10" s="9"/>
      <c r="G10" s="9"/>
      <c r="H10" s="33" t="s">
        <v>99</v>
      </c>
      <c r="I10" s="39" t="s">
        <v>100</v>
      </c>
      <c r="J10" s="40"/>
      <c r="K10" s="41"/>
      <c r="L10" s="38" t="s">
        <v>101</v>
      </c>
      <c r="M10" s="43" t="s">
        <v>102</v>
      </c>
    </row>
    <row r="11" spans="1:13" ht="34.200000000000003" customHeight="1" thickTop="1" thickBot="1">
      <c r="B11" s="9"/>
      <c r="C11" s="9"/>
      <c r="D11" s="9"/>
      <c r="E11" s="9"/>
      <c r="F11" s="9"/>
      <c r="G11" s="9"/>
      <c r="H11" s="34">
        <v>1</v>
      </c>
      <c r="I11" s="63" t="s">
        <v>103</v>
      </c>
      <c r="J11" s="64"/>
      <c r="K11" s="65"/>
      <c r="L11" s="44" t="s">
        <v>115</v>
      </c>
      <c r="M11" s="37" t="s">
        <v>107</v>
      </c>
    </row>
    <row r="12" spans="1:13" ht="34.200000000000003" customHeight="1" thickTop="1" thickBot="1">
      <c r="B12" s="9"/>
      <c r="C12" s="9"/>
      <c r="D12" s="9"/>
      <c r="E12" s="9"/>
      <c r="F12" s="9"/>
      <c r="G12" s="9"/>
      <c r="H12" s="35">
        <v>2</v>
      </c>
      <c r="I12" s="63" t="s">
        <v>104</v>
      </c>
      <c r="J12" s="64"/>
      <c r="K12" s="65"/>
      <c r="L12" s="44" t="s">
        <v>106</v>
      </c>
      <c r="M12" s="32" t="s">
        <v>116</v>
      </c>
    </row>
    <row r="13" spans="1:13" ht="27.6" customHeight="1" thickTop="1" thickBot="1">
      <c r="B13" s="9"/>
      <c r="C13" s="9"/>
      <c r="D13" s="9"/>
      <c r="E13" s="9"/>
      <c r="F13" s="9"/>
      <c r="G13" s="42"/>
      <c r="H13" s="31">
        <v>3</v>
      </c>
      <c r="I13" s="74" t="s">
        <v>105</v>
      </c>
      <c r="J13" s="75"/>
      <c r="K13" s="76"/>
      <c r="L13" s="44" t="s">
        <v>117</v>
      </c>
      <c r="M13" s="36" t="s">
        <v>118</v>
      </c>
    </row>
    <row r="14" spans="1:13" ht="27" customHeight="1" thickTop="1" thickBot="1">
      <c r="B14" s="9"/>
      <c r="C14" s="9"/>
      <c r="D14" s="9"/>
      <c r="E14" s="9"/>
      <c r="F14" s="9"/>
      <c r="G14" s="42"/>
      <c r="H14" s="35">
        <v>4</v>
      </c>
      <c r="I14" s="63" t="s">
        <v>108</v>
      </c>
      <c r="J14" s="64"/>
      <c r="K14" s="65"/>
      <c r="L14" s="44" t="s">
        <v>109</v>
      </c>
      <c r="M14" s="32" t="s">
        <v>110</v>
      </c>
    </row>
    <row r="15" spans="1:13" ht="36" customHeight="1" thickTop="1" thickBot="1">
      <c r="G15" s="9"/>
      <c r="H15" s="35">
        <v>5</v>
      </c>
      <c r="I15" s="63" t="s">
        <v>111</v>
      </c>
      <c r="J15" s="64"/>
      <c r="K15" s="65"/>
      <c r="L15" s="35"/>
      <c r="M15" s="32">
        <v>0</v>
      </c>
    </row>
    <row r="16" spans="1:13" ht="34.200000000000003" customHeight="1" thickTop="1" thickBot="1">
      <c r="G16" s="9"/>
      <c r="H16" s="35">
        <v>6</v>
      </c>
      <c r="I16" s="63" t="s">
        <v>114</v>
      </c>
      <c r="J16" s="64"/>
      <c r="K16" s="65"/>
      <c r="L16" s="44" t="s">
        <v>112</v>
      </c>
      <c r="M16" s="45" t="s">
        <v>113</v>
      </c>
    </row>
    <row r="17" spans="7:13" ht="34.200000000000003" customHeight="1" thickTop="1" thickBot="1">
      <c r="G17" s="9"/>
      <c r="H17" s="66" t="s">
        <v>7</v>
      </c>
      <c r="I17" s="67"/>
      <c r="J17" s="67"/>
      <c r="K17" s="67"/>
      <c r="L17" s="68"/>
      <c r="M17" s="45" t="s">
        <v>119</v>
      </c>
    </row>
    <row r="18" spans="7:13" thickTop="1">
      <c r="G18" s="9"/>
    </row>
    <row r="19" spans="7:13" ht="14.4">
      <c r="G19" s="9"/>
    </row>
    <row r="20" spans="7:13" ht="14.4">
      <c r="G20" s="9"/>
    </row>
    <row r="21" spans="7:13" ht="14.4">
      <c r="G21" s="9"/>
    </row>
    <row r="22" spans="7:13" ht="15.75" customHeight="1">
      <c r="G22" s="9"/>
    </row>
    <row r="23" spans="7:13" ht="15.75" customHeight="1"/>
    <row r="24" spans="7:13" ht="15.75" customHeight="1"/>
    <row r="25" spans="7:13" ht="15.75" customHeight="1"/>
    <row r="26" spans="7:13" ht="15.75" customHeight="1"/>
    <row r="27" spans="7:13" ht="15.75" customHeight="1"/>
    <row r="28" spans="7:13" ht="15.75" customHeight="1"/>
    <row r="29" spans="7:13" ht="15.75" customHeight="1"/>
    <row r="30" spans="7:13" ht="15.75" customHeight="1"/>
    <row r="31" spans="7:13" ht="15.75" customHeight="1"/>
    <row r="32" spans="7:13" ht="15.75" customHeight="1"/>
    <row r="33" ht="15.75" customHeight="1"/>
    <row r="34" ht="15.75" customHeight="1"/>
    <row r="35" ht="15.75" customHeight="1"/>
    <row r="36" ht="15.75" customHeight="1"/>
    <row r="37" ht="25.2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36.6" customHeight="1"/>
    <row r="45" ht="31.2" customHeight="1"/>
    <row r="46" ht="31.2" customHeight="1"/>
    <row r="47" ht="31.2" customHeight="1"/>
    <row r="48" ht="45.6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I14:K14"/>
    <mergeCell ref="I15:K15"/>
    <mergeCell ref="I16:K16"/>
    <mergeCell ref="H17:L17"/>
    <mergeCell ref="H5:M5"/>
    <mergeCell ref="I11:K11"/>
    <mergeCell ref="I12:K12"/>
    <mergeCell ref="H6:I6"/>
    <mergeCell ref="H7:I7"/>
    <mergeCell ref="I13:K13"/>
    <mergeCell ref="H8:I8"/>
    <mergeCell ref="H9:I9"/>
    <mergeCell ref="J9:M9"/>
    <mergeCell ref="J7:M7"/>
    <mergeCell ref="J6:M6"/>
    <mergeCell ref="J8:M8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DILUTIONS LIST-6,30,200,1M</vt:lpstr>
      <vt:lpstr>OINTMENTS</vt:lpstr>
      <vt:lpstr>BIOCHEMIC 6X,12X</vt:lpstr>
      <vt:lpstr>Sheet1</vt:lpstr>
      <vt:lpstr>OINTMENTS!Print_Area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Avo Avo</cp:lastModifiedBy>
  <cp:lastPrinted>2022-02-08T15:42:29Z</cp:lastPrinted>
  <dcterms:created xsi:type="dcterms:W3CDTF">2006-09-16T00:00:00Z</dcterms:created>
  <dcterms:modified xsi:type="dcterms:W3CDTF">2022-02-08T16:50:10Z</dcterms:modified>
</cp:coreProperties>
</file>