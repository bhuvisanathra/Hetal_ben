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C:\Users\hp\Desktop\Hetal Ben\Raw\"/>
    </mc:Choice>
  </mc:AlternateContent>
  <xr:revisionPtr revIDLastSave="0" documentId="13_ncr:1_{720053FE-2443-4875-B32C-C832C64F693F}" xr6:coauthVersionLast="45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PATRAK-1. OPD-IPD Report" sheetId="1" r:id="rId1"/>
    <sheet name="PATRAK-1. OPD-IPD Report (2)" sheetId="2" r:id="rId2"/>
  </sheets>
  <definedNames>
    <definedName name="_xlnm.Print_Area" localSheetId="0">'PATRAK-1. OPD-IPD Report'!$B$1:$Z$22</definedName>
    <definedName name="_xlnm.Print_Area" localSheetId="1">'PATRAK-1. OPD-IPD Report (2)'!$B$2:$Z$23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" i="2" l="1"/>
  <c r="Q21" i="2"/>
  <c r="P22" i="2" l="1"/>
  <c r="O22" i="2"/>
  <c r="N22" i="2"/>
  <c r="M22" i="2"/>
  <c r="L22" i="2"/>
  <c r="K22" i="2"/>
  <c r="H22" i="2"/>
  <c r="G22" i="2"/>
  <c r="F22" i="2"/>
  <c r="E22" i="2"/>
  <c r="D22" i="2"/>
  <c r="C22" i="2"/>
  <c r="X21" i="2"/>
  <c r="W21" i="2"/>
  <c r="V21" i="2"/>
  <c r="U21" i="2"/>
  <c r="T21" i="2"/>
  <c r="S21" i="2"/>
  <c r="R21" i="2"/>
  <c r="J21" i="2"/>
  <c r="I21" i="2"/>
  <c r="X20" i="2"/>
  <c r="W20" i="2"/>
  <c r="V20" i="2"/>
  <c r="U20" i="2"/>
  <c r="T20" i="2"/>
  <c r="S20" i="2"/>
  <c r="R20" i="2"/>
  <c r="J20" i="2"/>
  <c r="I20" i="2"/>
  <c r="X19" i="2"/>
  <c r="W19" i="2"/>
  <c r="V19" i="2"/>
  <c r="U19" i="2"/>
  <c r="T19" i="2"/>
  <c r="S19" i="2"/>
  <c r="R19" i="2"/>
  <c r="Q19" i="2"/>
  <c r="J19" i="2"/>
  <c r="I19" i="2"/>
  <c r="X18" i="2"/>
  <c r="W18" i="2"/>
  <c r="V18" i="2"/>
  <c r="U18" i="2"/>
  <c r="T18" i="2"/>
  <c r="S18" i="2"/>
  <c r="R18" i="2"/>
  <c r="Q18" i="2"/>
  <c r="J18" i="2"/>
  <c r="I18" i="2"/>
  <c r="X17" i="2"/>
  <c r="W17" i="2"/>
  <c r="V17" i="2"/>
  <c r="U17" i="2"/>
  <c r="T17" i="2"/>
  <c r="S17" i="2"/>
  <c r="R17" i="2"/>
  <c r="Q17" i="2"/>
  <c r="J17" i="2"/>
  <c r="X16" i="2"/>
  <c r="W16" i="2"/>
  <c r="V16" i="2"/>
  <c r="U16" i="2"/>
  <c r="T16" i="2"/>
  <c r="S16" i="2"/>
  <c r="R16" i="2"/>
  <c r="Q16" i="2"/>
  <c r="J16" i="2"/>
  <c r="I16" i="2"/>
  <c r="X15" i="2"/>
  <c r="W15" i="2"/>
  <c r="V15" i="2"/>
  <c r="U15" i="2"/>
  <c r="T15" i="2"/>
  <c r="S15" i="2"/>
  <c r="R15" i="2"/>
  <c r="Q15" i="2"/>
  <c r="J15" i="2"/>
  <c r="I15" i="2"/>
  <c r="X14" i="2"/>
  <c r="W14" i="2"/>
  <c r="V14" i="2"/>
  <c r="U14" i="2"/>
  <c r="T14" i="2"/>
  <c r="R14" i="2"/>
  <c r="Q14" i="2"/>
  <c r="J14" i="2"/>
  <c r="I14" i="2"/>
  <c r="R13" i="2"/>
  <c r="Q13" i="2"/>
  <c r="J13" i="2"/>
  <c r="I13" i="2"/>
  <c r="R12" i="2"/>
  <c r="Q12" i="2"/>
  <c r="J12" i="2"/>
  <c r="I12" i="2"/>
  <c r="Z11" i="2"/>
  <c r="Q13" i="1"/>
  <c r="Q14" i="1"/>
  <c r="D27" i="1"/>
  <c r="D26" i="1"/>
  <c r="Z10" i="2" l="1"/>
  <c r="R22" i="2"/>
  <c r="Y10" i="2"/>
  <c r="AM10" i="2" s="1"/>
  <c r="Q22" i="2"/>
  <c r="Y13" i="2"/>
  <c r="Y15" i="2"/>
  <c r="Y16" i="2"/>
  <c r="AM16" i="2" s="1"/>
  <c r="Y17" i="2"/>
  <c r="AM17" i="2" s="1"/>
  <c r="Y18" i="2"/>
  <c r="Y19" i="2"/>
  <c r="Z20" i="2"/>
  <c r="Z21" i="2"/>
  <c r="Y12" i="2"/>
  <c r="X22" i="2"/>
  <c r="J22" i="2"/>
  <c r="Y14" i="2"/>
  <c r="AM14" i="2" s="1"/>
  <c r="I22" i="2"/>
  <c r="W22" i="2"/>
  <c r="U22" i="2"/>
  <c r="V22" i="2"/>
  <c r="Z12" i="2"/>
  <c r="Z13" i="2"/>
  <c r="Z14" i="2"/>
  <c r="Z15" i="2"/>
  <c r="Z16" i="2"/>
  <c r="Z17" i="2"/>
  <c r="Z18" i="2"/>
  <c r="Z19" i="2"/>
  <c r="Y20" i="2"/>
  <c r="Y21" i="2"/>
  <c r="Y11" i="2"/>
  <c r="AM11" i="2" s="1"/>
  <c r="T22" i="2"/>
  <c r="S22" i="2"/>
  <c r="AB26" i="1"/>
  <c r="AI24" i="1"/>
  <c r="AE7" i="1"/>
  <c r="AE6" i="1"/>
  <c r="AJ10" i="1"/>
  <c r="AJ11" i="1"/>
  <c r="AJ12" i="1"/>
  <c r="AJ13" i="1"/>
  <c r="AJ14" i="1"/>
  <c r="AJ15" i="1"/>
  <c r="AJ16" i="1"/>
  <c r="AJ17" i="1"/>
  <c r="AJ18" i="1"/>
  <c r="AJ19" i="1"/>
  <c r="AJ20" i="1"/>
  <c r="AI10" i="1"/>
  <c r="AI11" i="1"/>
  <c r="AI12" i="1"/>
  <c r="AI13" i="1"/>
  <c r="AI14" i="1"/>
  <c r="AI15" i="1"/>
  <c r="AI16" i="1"/>
  <c r="AI17" i="1"/>
  <c r="AI18" i="1"/>
  <c r="AI19" i="1"/>
  <c r="AI20" i="1"/>
  <c r="AJ9" i="1"/>
  <c r="AI9" i="1"/>
  <c r="AH10" i="1"/>
  <c r="AH11" i="1"/>
  <c r="AH12" i="1"/>
  <c r="AH13" i="1"/>
  <c r="AH14" i="1"/>
  <c r="AH15" i="1"/>
  <c r="AH16" i="1"/>
  <c r="AH17" i="1"/>
  <c r="AH18" i="1"/>
  <c r="AH19" i="1"/>
  <c r="AH20" i="1"/>
  <c r="AG10" i="1"/>
  <c r="AG11" i="1"/>
  <c r="AG12" i="1"/>
  <c r="AG13" i="1"/>
  <c r="AG14" i="1"/>
  <c r="AG15" i="1"/>
  <c r="AG16" i="1"/>
  <c r="AG17" i="1"/>
  <c r="AG18" i="1"/>
  <c r="AG19" i="1"/>
  <c r="AG20" i="1"/>
  <c r="AF10" i="1"/>
  <c r="AF11" i="1"/>
  <c r="AF12" i="1"/>
  <c r="AF13" i="1"/>
  <c r="AF14" i="1"/>
  <c r="AF15" i="1"/>
  <c r="AF16" i="1"/>
  <c r="AF17" i="1"/>
  <c r="AF18" i="1"/>
  <c r="AF19" i="1"/>
  <c r="AF20" i="1"/>
  <c r="AH9" i="1"/>
  <c r="AG9" i="1"/>
  <c r="AF9" i="1"/>
  <c r="AC23" i="1"/>
  <c r="X9" i="1"/>
  <c r="W9" i="1"/>
  <c r="V9" i="1"/>
  <c r="U9" i="1"/>
  <c r="T9" i="1"/>
  <c r="S9" i="1"/>
  <c r="AM19" i="2" l="1"/>
  <c r="AM15" i="2"/>
  <c r="AK12" i="2"/>
  <c r="AM20" i="2"/>
  <c r="AM12" i="2"/>
  <c r="AM18" i="2"/>
  <c r="AM13" i="2"/>
  <c r="AM21" i="2"/>
  <c r="AJ12" i="2"/>
  <c r="Y22" i="2"/>
  <c r="Z22" i="2"/>
  <c r="AH21" i="1"/>
  <c r="AG21" i="1"/>
  <c r="AF21" i="1"/>
  <c r="AE10" i="1"/>
  <c r="AE11" i="1"/>
  <c r="AE12" i="1"/>
  <c r="AE13" i="1"/>
  <c r="AE14" i="1"/>
  <c r="AE15" i="1"/>
  <c r="AE16" i="1"/>
  <c r="AE17" i="1"/>
  <c r="AE18" i="1"/>
  <c r="AE19" i="1"/>
  <c r="AE20" i="1"/>
  <c r="AD10" i="1"/>
  <c r="AD11" i="1"/>
  <c r="AD12" i="1"/>
  <c r="AD13" i="1"/>
  <c r="AD14" i="1"/>
  <c r="AD15" i="1"/>
  <c r="AD16" i="1"/>
  <c r="AD17" i="1"/>
  <c r="AD18" i="1"/>
  <c r="AD19" i="1"/>
  <c r="AD20" i="1"/>
  <c r="AC10" i="1"/>
  <c r="AC11" i="1"/>
  <c r="AC12" i="1"/>
  <c r="AC13" i="1"/>
  <c r="AC14" i="1"/>
  <c r="AC15" i="1"/>
  <c r="AC16" i="1"/>
  <c r="AC17" i="1"/>
  <c r="AC18" i="1"/>
  <c r="AC19" i="1"/>
  <c r="AC20" i="1"/>
  <c r="AE9" i="1"/>
  <c r="AD9" i="1"/>
  <c r="AC9" i="1"/>
  <c r="X18" i="1"/>
  <c r="X19" i="1"/>
  <c r="X20" i="1"/>
  <c r="W18" i="1"/>
  <c r="W19" i="1"/>
  <c r="W20" i="1"/>
  <c r="V18" i="1"/>
  <c r="V19" i="1"/>
  <c r="V20" i="1"/>
  <c r="U18" i="1"/>
  <c r="U19" i="1"/>
  <c r="U20" i="1"/>
  <c r="T18" i="1"/>
  <c r="T19" i="1"/>
  <c r="T20" i="1"/>
  <c r="S18" i="1"/>
  <c r="S19" i="1"/>
  <c r="S20" i="1"/>
  <c r="X11" i="1"/>
  <c r="X12" i="1"/>
  <c r="X13" i="1"/>
  <c r="X14" i="1"/>
  <c r="X15" i="1"/>
  <c r="X16" i="1"/>
  <c r="X17" i="1"/>
  <c r="W11" i="1"/>
  <c r="W12" i="1"/>
  <c r="W13" i="1"/>
  <c r="W14" i="1"/>
  <c r="W15" i="1"/>
  <c r="W16" i="1"/>
  <c r="W17" i="1"/>
  <c r="V11" i="1"/>
  <c r="V12" i="1"/>
  <c r="V13" i="1"/>
  <c r="V14" i="1"/>
  <c r="V15" i="1"/>
  <c r="V16" i="1"/>
  <c r="V17" i="1"/>
  <c r="U11" i="1"/>
  <c r="U12" i="1"/>
  <c r="U13" i="1"/>
  <c r="U14" i="1"/>
  <c r="U15" i="1"/>
  <c r="U16" i="1"/>
  <c r="U17" i="1"/>
  <c r="T11" i="1"/>
  <c r="T12" i="1"/>
  <c r="T13" i="1"/>
  <c r="T14" i="1"/>
  <c r="T15" i="1"/>
  <c r="T16" i="1"/>
  <c r="T17" i="1"/>
  <c r="S11" i="1"/>
  <c r="S12" i="1"/>
  <c r="S13" i="1"/>
  <c r="S14" i="1"/>
  <c r="S15" i="1"/>
  <c r="S16" i="1"/>
  <c r="S17" i="1"/>
  <c r="T10" i="1"/>
  <c r="U10" i="1"/>
  <c r="V10" i="1"/>
  <c r="W10" i="1"/>
  <c r="X10" i="1"/>
  <c r="S10" i="1"/>
  <c r="J10" i="1"/>
  <c r="J11" i="1"/>
  <c r="I10" i="1"/>
  <c r="AJ13" i="2" l="1"/>
  <c r="AM22" i="2"/>
  <c r="N23" i="2"/>
  <c r="AA10" i="1"/>
  <c r="AE21" i="1"/>
  <c r="AD21" i="1"/>
  <c r="AC21" i="1"/>
  <c r="Y19" i="1"/>
  <c r="Z18" i="1"/>
  <c r="Z19" i="1"/>
  <c r="Y18" i="1"/>
  <c r="Y20" i="1"/>
  <c r="Z20" i="1"/>
  <c r="K21" i="1"/>
  <c r="L21" i="1"/>
  <c r="M21" i="1"/>
  <c r="N21" i="1"/>
  <c r="O21" i="1"/>
  <c r="P21" i="1"/>
  <c r="D21" i="1"/>
  <c r="E21" i="1"/>
  <c r="F21" i="1"/>
  <c r="G21" i="1"/>
  <c r="H21" i="1"/>
  <c r="C21" i="1"/>
  <c r="Q20" i="1"/>
  <c r="J20" i="1"/>
  <c r="I20" i="1"/>
  <c r="R18" i="1"/>
  <c r="R19" i="1"/>
  <c r="R20" i="1"/>
  <c r="Z16" i="1"/>
  <c r="Y16" i="1"/>
  <c r="R16" i="1"/>
  <c r="R17" i="1"/>
  <c r="Q16" i="1"/>
  <c r="Q17" i="1"/>
  <c r="Q18" i="1"/>
  <c r="J16" i="1"/>
  <c r="J17" i="1"/>
  <c r="J18" i="1"/>
  <c r="J19" i="1"/>
  <c r="I16" i="1"/>
  <c r="I17" i="1"/>
  <c r="I18" i="1"/>
  <c r="AA18" i="1" s="1"/>
  <c r="I19" i="1"/>
  <c r="AA19" i="1" s="1"/>
  <c r="Y14" i="1"/>
  <c r="R13" i="1"/>
  <c r="R14" i="1"/>
  <c r="R15" i="1"/>
  <c r="Q15" i="1"/>
  <c r="J13" i="1"/>
  <c r="J14" i="1"/>
  <c r="J15" i="1"/>
  <c r="I13" i="1"/>
  <c r="I14" i="1"/>
  <c r="I15" i="1"/>
  <c r="J12" i="1"/>
  <c r="I12" i="1"/>
  <c r="S21" i="1"/>
  <c r="R10" i="1"/>
  <c r="R11" i="1"/>
  <c r="R12" i="1"/>
  <c r="Q10" i="1"/>
  <c r="Q11" i="1"/>
  <c r="Q12" i="1"/>
  <c r="I11" i="1"/>
  <c r="AA11" i="1" s="1"/>
  <c r="X21" i="1"/>
  <c r="Y9" i="1"/>
  <c r="Z9" i="1"/>
  <c r="R9" i="1"/>
  <c r="Q9" i="1"/>
  <c r="J9" i="1"/>
  <c r="I9" i="1"/>
  <c r="AA17" i="1" l="1"/>
  <c r="AA15" i="1"/>
  <c r="AA16" i="1"/>
  <c r="AA14" i="1"/>
  <c r="AA20" i="1"/>
  <c r="AA12" i="1"/>
  <c r="AA13" i="1"/>
  <c r="AA9" i="1"/>
  <c r="D23" i="1"/>
  <c r="C23" i="1"/>
  <c r="H23" i="1"/>
  <c r="I23" i="1"/>
  <c r="AB18" i="1"/>
  <c r="AB16" i="1"/>
  <c r="AC24" i="1"/>
  <c r="AB9" i="1"/>
  <c r="AB20" i="1"/>
  <c r="AB19" i="1"/>
  <c r="AB25" i="1"/>
  <c r="I21" i="1"/>
  <c r="Q21" i="1"/>
  <c r="R21" i="1"/>
  <c r="J21" i="1"/>
  <c r="W21" i="1"/>
  <c r="V21" i="1"/>
  <c r="Z12" i="1"/>
  <c r="Z14" i="1"/>
  <c r="AB14" i="1" s="1"/>
  <c r="Y10" i="1"/>
  <c r="Y15" i="1"/>
  <c r="Y13" i="1"/>
  <c r="Y17" i="1"/>
  <c r="T21" i="1"/>
  <c r="Z13" i="1"/>
  <c r="U21" i="1"/>
  <c r="Z11" i="1"/>
  <c r="Z17" i="1"/>
  <c r="Z15" i="1"/>
  <c r="Z10" i="1"/>
  <c r="Y11" i="1"/>
  <c r="Y12" i="1"/>
  <c r="I24" i="1" l="1"/>
  <c r="C24" i="1"/>
  <c r="L23" i="1"/>
  <c r="AB17" i="1"/>
  <c r="AB10" i="1"/>
  <c r="AB15" i="1"/>
  <c r="AB12" i="1"/>
  <c r="AB11" i="1"/>
  <c r="AB13" i="1"/>
  <c r="Z21" i="1"/>
  <c r="Y21" i="1"/>
  <c r="Y22" i="1" l="1"/>
  <c r="L24" i="1"/>
  <c r="Y23" i="1"/>
  <c r="AB21" i="1"/>
  <c r="AB22" i="1"/>
  <c r="AB23" i="1" s="1"/>
</calcChain>
</file>

<file path=xl/sharedStrings.xml><?xml version="1.0" encoding="utf-8"?>
<sst xmlns="http://schemas.openxmlformats.org/spreadsheetml/2006/main" count="106" uniqueCount="32">
  <si>
    <t xml:space="preserve">NEW CASE </t>
  </si>
  <si>
    <t xml:space="preserve">OLD CASE </t>
  </si>
  <si>
    <t>TOTAL CASE</t>
  </si>
  <si>
    <t>DATE</t>
  </si>
  <si>
    <t>0-15 Years</t>
  </si>
  <si>
    <t>16-60 Years</t>
  </si>
  <si>
    <t>60 Above</t>
  </si>
  <si>
    <t xml:space="preserve">Total </t>
  </si>
  <si>
    <t>M</t>
  </si>
  <si>
    <t>F</t>
  </si>
  <si>
    <t xml:space="preserve">TOTAL </t>
  </si>
  <si>
    <t xml:space="preserve">પત્રક -૧ </t>
  </si>
  <si>
    <t>O.P.D./I.P.D. Patients  Repot</t>
  </si>
  <si>
    <t xml:space="preserve">કચેરીનું નામ ફટાણા આયુર્વેદ દવાખાનું </t>
  </si>
  <si>
    <t>સરકારી આયુર્વેદ હોસ્પિટલ/ દવાખાનું-ફટાણા આયુર્વેદ દવાખાનું  તા.-પોરબંદર જિલ્લો.- પોરબંદર</t>
  </si>
  <si>
    <t>0-15</t>
  </si>
  <si>
    <t>16-60</t>
  </si>
  <si>
    <t>ab 60</t>
  </si>
  <si>
    <t>CHIILD</t>
  </si>
  <si>
    <t>MALE</t>
  </si>
  <si>
    <t>FEMALe</t>
  </si>
  <si>
    <t xml:space="preserve"> </t>
  </si>
  <si>
    <t xml:space="preserve">Month :- APRIL - 2020 TO </t>
  </si>
  <si>
    <t>Grand Total</t>
  </si>
  <si>
    <t>Month</t>
  </si>
  <si>
    <t>Month :- APRIL - 2020 TO March - 2021</t>
  </si>
  <si>
    <t>Monthly Total</t>
  </si>
  <si>
    <t xml:space="preserve">સરકારી હોમિયોપેથિક દવાખાનું (માજીવાણા)  તા.-પોરબંદર,જિલ્લો.- પોરબંદર </t>
  </si>
  <si>
    <t>O.P.D./I.P.D. Patients  Report</t>
  </si>
  <si>
    <t xml:space="preserve">કચેરીનું નામ.............................. .............................. 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</si>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</sst>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1" fillId="0" borderId="0" xfId="0" applyFont="1" applyFill="1" applyBorder="1" applyAlignment="1">
      <alignment vertical="top" wrapText="1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7" fontId="1" fillId="0" borderId="0" xfId="0" applyNumberFormat="1" applyFont="1"/>
    <xf numFmtId="17" fontId="1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17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7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12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vertical="center"/>
    </xf>
    <xf numFmtId="0" fontId="11" fillId="2" borderId="1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8"/>
  <sheetViews>
    <sheetView topLeftCell="A5" zoomScaleSheetLayoutView="100" workbookViewId="0">
      <selection activeCell="Q10" sqref="Q10"/>
    </sheetView>
  </sheetViews>
  <sheetFormatPr defaultColWidth="9.109375" defaultRowHeight="15.6" x14ac:dyDescent="0.3"/>
  <cols>
    <col min="1" max="1" width="9.109375" style="1" customWidth="1"/>
    <col min="2" max="2" width="7.88671875" style="1" customWidth="1"/>
    <col min="3" max="3" width="4.44140625" style="1" customWidth="1"/>
    <col min="4" max="4" width="3.88671875" style="1" customWidth="1"/>
    <col min="5" max="5" width="4" style="1" customWidth="1"/>
    <col min="6" max="6" width="3.88671875" style="1" customWidth="1"/>
    <col min="7" max="7" width="4.109375" style="1" customWidth="1"/>
    <col min="8" max="8" width="4" style="1" customWidth="1"/>
    <col min="9" max="9" width="4.33203125" style="26" customWidth="1"/>
    <col min="10" max="10" width="5.109375" style="26" customWidth="1"/>
    <col min="11" max="11" width="4.33203125" style="1" customWidth="1"/>
    <col min="12" max="12" width="4.109375" style="1" customWidth="1"/>
    <col min="13" max="14" width="4.44140625" style="1" customWidth="1"/>
    <col min="15" max="15" width="4" style="1" customWidth="1"/>
    <col min="16" max="16" width="3.88671875" style="1" customWidth="1"/>
    <col min="17" max="17" width="4.88671875" style="24" customWidth="1"/>
    <col min="18" max="18" width="4.33203125" style="24" customWidth="1"/>
    <col min="19" max="19" width="4.33203125" style="1" customWidth="1"/>
    <col min="20" max="20" width="4" style="1" customWidth="1"/>
    <col min="21" max="21" width="4.109375" style="1" customWidth="1"/>
    <col min="22" max="22" width="4.33203125" style="1" customWidth="1"/>
    <col min="23" max="24" width="4.44140625" style="1" customWidth="1"/>
    <col min="25" max="26" width="4.33203125" style="1" customWidth="1"/>
    <col min="27" max="27" width="7.5546875" style="1" customWidth="1"/>
    <col min="28" max="28" width="9.109375" style="11"/>
    <col min="29" max="29" width="7" style="2" customWidth="1"/>
    <col min="30" max="30" width="6.88671875" style="11" customWidth="1"/>
    <col min="31" max="31" width="7" style="11" customWidth="1"/>
    <col min="32" max="32" width="7.44140625" style="1" customWidth="1"/>
    <col min="33" max="33" width="6" style="1" customWidth="1"/>
    <col min="34" max="34" width="7.109375" style="1" customWidth="1"/>
    <col min="35" max="35" width="7.88671875" style="1" customWidth="1"/>
    <col min="36" max="36" width="7" style="1" customWidth="1"/>
    <col min="37" max="37" width="7.44140625" style="1" customWidth="1"/>
    <col min="38" max="16384" width="9.109375" style="1"/>
  </cols>
  <sheetData>
    <row r="1" spans="1:36" ht="24.75" customHeight="1" x14ac:dyDescent="0.3">
      <c r="B1" s="60" t="s">
        <v>11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27"/>
    </row>
    <row r="2" spans="1:36" ht="24" customHeight="1" x14ac:dyDescent="0.3">
      <c r="B2" s="61" t="s">
        <v>13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28"/>
    </row>
    <row r="3" spans="1:36" ht="26.25" customHeight="1" x14ac:dyDescent="0.3">
      <c r="B3" s="61" t="s">
        <v>12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28"/>
    </row>
    <row r="4" spans="1:36" ht="23.25" customHeight="1" x14ac:dyDescent="0.3">
      <c r="B4" s="62" t="s">
        <v>14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4"/>
      <c r="AA4" s="28"/>
    </row>
    <row r="5" spans="1:36" ht="33.75" customHeight="1" x14ac:dyDescent="0.3">
      <c r="B5" s="57" t="s">
        <v>22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9"/>
      <c r="AA5" s="27"/>
    </row>
    <row r="6" spans="1:36" s="11" customFormat="1" ht="20.100000000000001" customHeight="1" x14ac:dyDescent="0.3">
      <c r="B6" s="8"/>
      <c r="C6" s="54" t="s">
        <v>0</v>
      </c>
      <c r="D6" s="54"/>
      <c r="E6" s="54"/>
      <c r="F6" s="54"/>
      <c r="G6" s="54"/>
      <c r="H6" s="54"/>
      <c r="I6" s="54"/>
      <c r="J6" s="54"/>
      <c r="K6" s="54" t="s">
        <v>1</v>
      </c>
      <c r="L6" s="54"/>
      <c r="M6" s="54"/>
      <c r="N6" s="54"/>
      <c r="O6" s="54"/>
      <c r="P6" s="54"/>
      <c r="Q6" s="54"/>
      <c r="R6" s="54"/>
      <c r="S6" s="54" t="s">
        <v>2</v>
      </c>
      <c r="T6" s="54"/>
      <c r="U6" s="54"/>
      <c r="V6" s="54"/>
      <c r="W6" s="54"/>
      <c r="X6" s="54"/>
      <c r="Y6" s="54"/>
      <c r="Z6" s="54"/>
      <c r="AA6" s="28"/>
      <c r="AB6" s="11" t="s">
        <v>21</v>
      </c>
      <c r="AC6" s="2"/>
      <c r="AE6" s="11">
        <f>96*4</f>
        <v>384</v>
      </c>
    </row>
    <row r="7" spans="1:36" s="11" customFormat="1" ht="37.5" customHeight="1" x14ac:dyDescent="0.3">
      <c r="B7" s="9" t="s">
        <v>3</v>
      </c>
      <c r="C7" s="55" t="s">
        <v>4</v>
      </c>
      <c r="D7" s="55"/>
      <c r="E7" s="55" t="s">
        <v>5</v>
      </c>
      <c r="F7" s="55"/>
      <c r="G7" s="55" t="s">
        <v>6</v>
      </c>
      <c r="H7" s="55"/>
      <c r="I7" s="56" t="s">
        <v>7</v>
      </c>
      <c r="J7" s="56"/>
      <c r="K7" s="55" t="s">
        <v>4</v>
      </c>
      <c r="L7" s="55"/>
      <c r="M7" s="55" t="s">
        <v>5</v>
      </c>
      <c r="N7" s="55"/>
      <c r="O7" s="55" t="s">
        <v>6</v>
      </c>
      <c r="P7" s="55"/>
      <c r="Q7" s="54" t="s">
        <v>7</v>
      </c>
      <c r="R7" s="54"/>
      <c r="S7" s="55" t="s">
        <v>4</v>
      </c>
      <c r="T7" s="55"/>
      <c r="U7" s="55" t="s">
        <v>5</v>
      </c>
      <c r="V7" s="55"/>
      <c r="W7" s="55" t="s">
        <v>6</v>
      </c>
      <c r="X7" s="55"/>
      <c r="Y7" s="54" t="s">
        <v>7</v>
      </c>
      <c r="Z7" s="54"/>
      <c r="AA7" s="28"/>
      <c r="AC7" s="2"/>
      <c r="AE7" s="11">
        <f>385/22</f>
        <v>17.5</v>
      </c>
    </row>
    <row r="8" spans="1:36" s="11" customFormat="1" ht="20.100000000000001" customHeight="1" x14ac:dyDescent="0.3">
      <c r="B8" s="8"/>
      <c r="C8" s="10" t="s">
        <v>8</v>
      </c>
      <c r="D8" s="10" t="s">
        <v>9</v>
      </c>
      <c r="E8" s="10" t="s">
        <v>8</v>
      </c>
      <c r="F8" s="10" t="s">
        <v>9</v>
      </c>
      <c r="G8" s="10" t="s">
        <v>8</v>
      </c>
      <c r="H8" s="10" t="s">
        <v>9</v>
      </c>
      <c r="I8" s="25" t="s">
        <v>8</v>
      </c>
      <c r="J8" s="25" t="s">
        <v>9</v>
      </c>
      <c r="K8" s="18" t="s">
        <v>8</v>
      </c>
      <c r="L8" s="10" t="s">
        <v>9</v>
      </c>
      <c r="M8" s="10" t="s">
        <v>8</v>
      </c>
      <c r="N8" s="10" t="s">
        <v>9</v>
      </c>
      <c r="O8" s="10" t="s">
        <v>8</v>
      </c>
      <c r="P8" s="10" t="s">
        <v>9</v>
      </c>
      <c r="Q8" s="21" t="s">
        <v>8</v>
      </c>
      <c r="R8" s="21" t="s">
        <v>9</v>
      </c>
      <c r="S8" s="10" t="s">
        <v>8</v>
      </c>
      <c r="T8" s="10" t="s">
        <v>9</v>
      </c>
      <c r="U8" s="10" t="s">
        <v>8</v>
      </c>
      <c r="V8" s="10" t="s">
        <v>9</v>
      </c>
      <c r="W8" s="10" t="s">
        <v>8</v>
      </c>
      <c r="X8" s="10" t="s">
        <v>9</v>
      </c>
      <c r="Y8" s="10" t="s">
        <v>8</v>
      </c>
      <c r="Z8" s="10" t="s">
        <v>9</v>
      </c>
      <c r="AA8" s="29"/>
      <c r="AC8" s="2" t="s">
        <v>15</v>
      </c>
      <c r="AD8" s="11" t="s">
        <v>16</v>
      </c>
      <c r="AE8" s="11" t="s">
        <v>17</v>
      </c>
      <c r="AF8" s="4" t="s">
        <v>18</v>
      </c>
      <c r="AG8" s="4" t="s">
        <v>8</v>
      </c>
      <c r="AH8" s="4" t="s">
        <v>9</v>
      </c>
      <c r="AI8" s="11" t="s">
        <v>19</v>
      </c>
      <c r="AJ8" s="11" t="s">
        <v>20</v>
      </c>
    </row>
    <row r="9" spans="1:36" ht="20.100000000000001" customHeight="1" x14ac:dyDescent="0.3">
      <c r="A9" s="33"/>
      <c r="B9" s="34">
        <v>43922</v>
      </c>
      <c r="C9" s="20">
        <v>3</v>
      </c>
      <c r="D9" s="8">
        <v>2</v>
      </c>
      <c r="E9" s="20">
        <v>34</v>
      </c>
      <c r="F9" s="20">
        <v>27</v>
      </c>
      <c r="G9" s="20">
        <v>18</v>
      </c>
      <c r="H9" s="20">
        <v>23</v>
      </c>
      <c r="I9" s="23">
        <f>C9+E9+G9</f>
        <v>55</v>
      </c>
      <c r="J9" s="23">
        <f>D9+F9+H9</f>
        <v>52</v>
      </c>
      <c r="K9" s="20">
        <v>19</v>
      </c>
      <c r="L9" s="20">
        <v>14</v>
      </c>
      <c r="M9" s="20">
        <v>57</v>
      </c>
      <c r="N9" s="20">
        <v>81</v>
      </c>
      <c r="O9" s="20">
        <v>80</v>
      </c>
      <c r="P9" s="20">
        <v>84</v>
      </c>
      <c r="Q9" s="22">
        <f>K9+M9+O9</f>
        <v>156</v>
      </c>
      <c r="R9" s="22">
        <f>L9+N9+P9</f>
        <v>179</v>
      </c>
      <c r="S9" s="8">
        <f t="shared" ref="S9:X9" si="0">C9+K9</f>
        <v>22</v>
      </c>
      <c r="T9" s="8">
        <f t="shared" si="0"/>
        <v>16</v>
      </c>
      <c r="U9" s="8">
        <f t="shared" si="0"/>
        <v>91</v>
      </c>
      <c r="V9" s="8">
        <f t="shared" si="0"/>
        <v>108</v>
      </c>
      <c r="W9" s="8">
        <f t="shared" si="0"/>
        <v>98</v>
      </c>
      <c r="X9" s="8">
        <f t="shared" si="0"/>
        <v>107</v>
      </c>
      <c r="Y9" s="8">
        <f>S9+U9+W9</f>
        <v>211</v>
      </c>
      <c r="Z9" s="8">
        <f>T9+V9+X9</f>
        <v>231</v>
      </c>
      <c r="AA9" s="28">
        <f>I9+J9</f>
        <v>107</v>
      </c>
      <c r="AB9" s="11">
        <f>Y9+Z9</f>
        <v>442</v>
      </c>
      <c r="AC9" s="2">
        <f>C9+D9+K9+L9</f>
        <v>38</v>
      </c>
      <c r="AD9" s="11">
        <f>E9+F9+M9+N9</f>
        <v>199</v>
      </c>
      <c r="AE9" s="11">
        <f>G9+H9+O9+P9</f>
        <v>205</v>
      </c>
      <c r="AF9" s="4">
        <f>C9+D9+K9+L9</f>
        <v>38</v>
      </c>
      <c r="AG9" s="4">
        <f>E9+G9+M9+O9</f>
        <v>189</v>
      </c>
      <c r="AH9" s="4">
        <f>F9+H9+N9+P9</f>
        <v>215</v>
      </c>
      <c r="AI9" s="1">
        <f>C9+E9+G9+K9+M9+O9</f>
        <v>211</v>
      </c>
      <c r="AJ9" s="1">
        <f>D9+F9+H9+L9+N9+P9</f>
        <v>231</v>
      </c>
    </row>
    <row r="10" spans="1:36" ht="20.100000000000001" customHeight="1" x14ac:dyDescent="0.3">
      <c r="A10" s="33"/>
      <c r="B10" s="34">
        <v>43952</v>
      </c>
      <c r="C10" s="20">
        <v>0</v>
      </c>
      <c r="D10" s="20">
        <v>4</v>
      </c>
      <c r="E10" s="20">
        <v>23</v>
      </c>
      <c r="F10" s="20">
        <v>39</v>
      </c>
      <c r="G10" s="20">
        <v>9</v>
      </c>
      <c r="H10" s="20">
        <v>10</v>
      </c>
      <c r="I10" s="23">
        <f t="shared" ref="I10:I20" si="1">C10+E10+G10</f>
        <v>32</v>
      </c>
      <c r="J10" s="23">
        <f t="shared" ref="J10:J20" si="2">D10+F10+H10</f>
        <v>53</v>
      </c>
      <c r="K10" s="32">
        <v>8</v>
      </c>
      <c r="L10" s="32">
        <v>13</v>
      </c>
      <c r="M10" s="32">
        <v>67</v>
      </c>
      <c r="N10" s="32">
        <v>104</v>
      </c>
      <c r="O10" s="32">
        <v>95</v>
      </c>
      <c r="P10" s="32">
        <v>104</v>
      </c>
      <c r="Q10" s="22">
        <f t="shared" ref="Q10:Q20" si="3">K10+M10+O10</f>
        <v>170</v>
      </c>
      <c r="R10" s="22">
        <f t="shared" ref="R10:R20" si="4">L10+N10+P10</f>
        <v>221</v>
      </c>
      <c r="S10" s="8">
        <f>C10+K10</f>
        <v>8</v>
      </c>
      <c r="T10" s="8">
        <f t="shared" ref="T10:X20" si="5">D10+L10</f>
        <v>17</v>
      </c>
      <c r="U10" s="8">
        <f t="shared" si="5"/>
        <v>90</v>
      </c>
      <c r="V10" s="8">
        <f t="shared" si="5"/>
        <v>143</v>
      </c>
      <c r="W10" s="8">
        <f t="shared" si="5"/>
        <v>104</v>
      </c>
      <c r="X10" s="8">
        <f t="shared" si="5"/>
        <v>114</v>
      </c>
      <c r="Y10" s="8">
        <f t="shared" ref="Y10:Y20" si="6">S10+U10+W10</f>
        <v>202</v>
      </c>
      <c r="Z10" s="8">
        <f t="shared" ref="Z10:Z20" si="7">T10+V10+X10</f>
        <v>274</v>
      </c>
      <c r="AA10" s="28">
        <f t="shared" ref="AA10:AA20" si="8">I10+J10</f>
        <v>85</v>
      </c>
      <c r="AB10" s="11">
        <f t="shared" ref="AB10:AB16" si="9">Y10+Z10</f>
        <v>476</v>
      </c>
      <c r="AC10" s="2">
        <f t="shared" ref="AC10:AC20" si="10">C10+D10+K10+L10</f>
        <v>25</v>
      </c>
      <c r="AD10" s="11">
        <f t="shared" ref="AD10:AD20" si="11">E10+F10+M10+N10</f>
        <v>233</v>
      </c>
      <c r="AE10" s="11">
        <f t="shared" ref="AE10:AE20" si="12">G10+H10+O10+P10</f>
        <v>218</v>
      </c>
      <c r="AF10" s="4">
        <f t="shared" ref="AF10:AF20" si="13">C10+D10+K10+L10</f>
        <v>25</v>
      </c>
      <c r="AG10" s="4">
        <f t="shared" ref="AG10:AG20" si="14">E10+G10+M10+O10</f>
        <v>194</v>
      </c>
      <c r="AH10" s="4">
        <f t="shared" ref="AH10:AH20" si="15">F10+H10+N10+P10</f>
        <v>257</v>
      </c>
      <c r="AI10" s="1">
        <f t="shared" ref="AI10:AI20" si="16">C10+E10+G10+K10+M10+O10</f>
        <v>202</v>
      </c>
      <c r="AJ10" s="1">
        <f t="shared" ref="AJ10:AJ20" si="17">D10+F10+H10+L10+N10+P10</f>
        <v>274</v>
      </c>
    </row>
    <row r="11" spans="1:36" ht="20.100000000000001" customHeight="1" x14ac:dyDescent="0.3">
      <c r="A11" s="33"/>
      <c r="B11" s="34">
        <v>43983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23">
        <f t="shared" si="1"/>
        <v>0</v>
      </c>
      <c r="J11" s="23">
        <f t="shared" si="2"/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22">
        <f t="shared" si="3"/>
        <v>0</v>
      </c>
      <c r="R11" s="22">
        <f t="shared" si="4"/>
        <v>0</v>
      </c>
      <c r="S11" s="8">
        <f t="shared" ref="S11:S20" si="18">C11+K11</f>
        <v>0</v>
      </c>
      <c r="T11" s="8">
        <f t="shared" si="5"/>
        <v>0</v>
      </c>
      <c r="U11" s="8">
        <f t="shared" si="5"/>
        <v>0</v>
      </c>
      <c r="V11" s="8">
        <f t="shared" si="5"/>
        <v>0</v>
      </c>
      <c r="W11" s="8">
        <f t="shared" si="5"/>
        <v>0</v>
      </c>
      <c r="X11" s="8">
        <f t="shared" si="5"/>
        <v>0</v>
      </c>
      <c r="Y11" s="8">
        <f t="shared" si="6"/>
        <v>0</v>
      </c>
      <c r="Z11" s="8">
        <f t="shared" si="7"/>
        <v>0</v>
      </c>
      <c r="AA11" s="28">
        <f t="shared" si="8"/>
        <v>0</v>
      </c>
      <c r="AB11" s="11">
        <f t="shared" si="9"/>
        <v>0</v>
      </c>
      <c r="AC11" s="2">
        <f t="shared" si="10"/>
        <v>0</v>
      </c>
      <c r="AD11" s="11">
        <f t="shared" si="11"/>
        <v>0</v>
      </c>
      <c r="AE11" s="11">
        <f t="shared" si="12"/>
        <v>0</v>
      </c>
      <c r="AF11" s="4">
        <f t="shared" si="13"/>
        <v>0</v>
      </c>
      <c r="AG11" s="4">
        <f t="shared" si="14"/>
        <v>0</v>
      </c>
      <c r="AH11" s="4">
        <f t="shared" si="15"/>
        <v>0</v>
      </c>
      <c r="AI11" s="1">
        <f t="shared" si="16"/>
        <v>0</v>
      </c>
      <c r="AJ11" s="1">
        <f t="shared" si="17"/>
        <v>0</v>
      </c>
    </row>
    <row r="12" spans="1:36" ht="20.100000000000001" customHeight="1" x14ac:dyDescent="0.3">
      <c r="A12" s="33"/>
      <c r="B12" s="34">
        <v>44013</v>
      </c>
      <c r="C12" s="32">
        <v>0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23">
        <f t="shared" si="1"/>
        <v>0</v>
      </c>
      <c r="J12" s="23">
        <f t="shared" si="2"/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22">
        <f t="shared" si="3"/>
        <v>0</v>
      </c>
      <c r="R12" s="22">
        <f t="shared" si="4"/>
        <v>0</v>
      </c>
      <c r="S12" s="19">
        <f t="shared" si="18"/>
        <v>0</v>
      </c>
      <c r="T12" s="19">
        <f t="shared" si="5"/>
        <v>0</v>
      </c>
      <c r="U12" s="19">
        <f t="shared" si="5"/>
        <v>0</v>
      </c>
      <c r="V12" s="19">
        <f t="shared" si="5"/>
        <v>0</v>
      </c>
      <c r="W12" s="19">
        <f t="shared" si="5"/>
        <v>0</v>
      </c>
      <c r="X12" s="19">
        <f t="shared" si="5"/>
        <v>0</v>
      </c>
      <c r="Y12" s="19">
        <f t="shared" si="6"/>
        <v>0</v>
      </c>
      <c r="Z12" s="19">
        <f t="shared" si="7"/>
        <v>0</v>
      </c>
      <c r="AA12" s="28">
        <f t="shared" si="8"/>
        <v>0</v>
      </c>
      <c r="AB12" s="11">
        <f t="shared" si="9"/>
        <v>0</v>
      </c>
      <c r="AC12" s="2">
        <f t="shared" si="10"/>
        <v>0</v>
      </c>
      <c r="AD12" s="11">
        <f t="shared" si="11"/>
        <v>0</v>
      </c>
      <c r="AE12" s="11">
        <f t="shared" si="12"/>
        <v>0</v>
      </c>
      <c r="AF12" s="4">
        <f t="shared" si="13"/>
        <v>0</v>
      </c>
      <c r="AG12" s="4">
        <f t="shared" si="14"/>
        <v>0</v>
      </c>
      <c r="AH12" s="4">
        <f t="shared" si="15"/>
        <v>0</v>
      </c>
      <c r="AI12" s="1">
        <f t="shared" si="16"/>
        <v>0</v>
      </c>
      <c r="AJ12" s="1">
        <f t="shared" si="17"/>
        <v>0</v>
      </c>
    </row>
    <row r="13" spans="1:36" ht="20.100000000000001" customHeight="1" x14ac:dyDescent="0.3">
      <c r="A13" s="33"/>
      <c r="B13" s="34">
        <v>44044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23">
        <f t="shared" si="1"/>
        <v>0</v>
      </c>
      <c r="J13" s="23">
        <f t="shared" si="2"/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22">
        <f t="shared" si="3"/>
        <v>0</v>
      </c>
      <c r="R13" s="22">
        <f t="shared" si="4"/>
        <v>0</v>
      </c>
      <c r="S13" s="8">
        <f t="shared" si="18"/>
        <v>0</v>
      </c>
      <c r="T13" s="8">
        <f t="shared" si="5"/>
        <v>0</v>
      </c>
      <c r="U13" s="8">
        <f t="shared" si="5"/>
        <v>0</v>
      </c>
      <c r="V13" s="8">
        <f t="shared" si="5"/>
        <v>0</v>
      </c>
      <c r="W13" s="8">
        <f t="shared" si="5"/>
        <v>0</v>
      </c>
      <c r="X13" s="8">
        <f t="shared" si="5"/>
        <v>0</v>
      </c>
      <c r="Y13" s="8">
        <f t="shared" si="6"/>
        <v>0</v>
      </c>
      <c r="Z13" s="8">
        <f t="shared" si="7"/>
        <v>0</v>
      </c>
      <c r="AA13" s="28">
        <f t="shared" si="8"/>
        <v>0</v>
      </c>
      <c r="AB13" s="11">
        <f t="shared" si="9"/>
        <v>0</v>
      </c>
      <c r="AC13" s="2">
        <f t="shared" si="10"/>
        <v>0</v>
      </c>
      <c r="AD13" s="11">
        <f t="shared" si="11"/>
        <v>0</v>
      </c>
      <c r="AE13" s="11">
        <f t="shared" si="12"/>
        <v>0</v>
      </c>
      <c r="AF13" s="4">
        <f t="shared" si="13"/>
        <v>0</v>
      </c>
      <c r="AG13" s="4">
        <f t="shared" si="14"/>
        <v>0</v>
      </c>
      <c r="AH13" s="4">
        <f t="shared" si="15"/>
        <v>0</v>
      </c>
      <c r="AI13" s="1">
        <f t="shared" si="16"/>
        <v>0</v>
      </c>
      <c r="AJ13" s="1">
        <f t="shared" si="17"/>
        <v>0</v>
      </c>
    </row>
    <row r="14" spans="1:36" ht="20.100000000000001" customHeight="1" x14ac:dyDescent="0.3">
      <c r="A14" s="33"/>
      <c r="B14" s="34">
        <v>44075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23">
        <f t="shared" si="1"/>
        <v>0</v>
      </c>
      <c r="J14" s="23">
        <f t="shared" si="2"/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22">
        <f t="shared" si="3"/>
        <v>0</v>
      </c>
      <c r="R14" s="22">
        <f t="shared" si="4"/>
        <v>0</v>
      </c>
      <c r="S14" s="8">
        <f t="shared" si="18"/>
        <v>0</v>
      </c>
      <c r="T14" s="8">
        <f t="shared" si="5"/>
        <v>0</v>
      </c>
      <c r="U14" s="8">
        <f t="shared" si="5"/>
        <v>0</v>
      </c>
      <c r="V14" s="8">
        <f t="shared" si="5"/>
        <v>0</v>
      </c>
      <c r="W14" s="8">
        <f t="shared" si="5"/>
        <v>0</v>
      </c>
      <c r="X14" s="8">
        <f t="shared" si="5"/>
        <v>0</v>
      </c>
      <c r="Y14" s="8">
        <f t="shared" si="6"/>
        <v>0</v>
      </c>
      <c r="Z14" s="8">
        <f t="shared" si="7"/>
        <v>0</v>
      </c>
      <c r="AA14" s="28">
        <f t="shared" si="8"/>
        <v>0</v>
      </c>
      <c r="AB14" s="11">
        <f t="shared" si="9"/>
        <v>0</v>
      </c>
      <c r="AC14" s="2">
        <f t="shared" si="10"/>
        <v>0</v>
      </c>
      <c r="AD14" s="11">
        <f t="shared" si="11"/>
        <v>0</v>
      </c>
      <c r="AE14" s="11">
        <f t="shared" si="12"/>
        <v>0</v>
      </c>
      <c r="AF14" s="4">
        <f t="shared" si="13"/>
        <v>0</v>
      </c>
      <c r="AG14" s="4">
        <f t="shared" si="14"/>
        <v>0</v>
      </c>
      <c r="AH14" s="4">
        <f t="shared" si="15"/>
        <v>0</v>
      </c>
      <c r="AI14" s="1">
        <f t="shared" si="16"/>
        <v>0</v>
      </c>
      <c r="AJ14" s="1">
        <f t="shared" si="17"/>
        <v>0</v>
      </c>
    </row>
    <row r="15" spans="1:36" ht="20.100000000000001" customHeight="1" x14ac:dyDescent="0.3">
      <c r="A15" s="33"/>
      <c r="B15" s="34">
        <v>44105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23">
        <f t="shared" si="1"/>
        <v>0</v>
      </c>
      <c r="J15" s="23">
        <f t="shared" si="2"/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22">
        <f t="shared" si="3"/>
        <v>0</v>
      </c>
      <c r="R15" s="22">
        <f t="shared" si="4"/>
        <v>0</v>
      </c>
      <c r="S15" s="8">
        <f t="shared" si="18"/>
        <v>0</v>
      </c>
      <c r="T15" s="8">
        <f t="shared" si="5"/>
        <v>0</v>
      </c>
      <c r="U15" s="8">
        <f t="shared" si="5"/>
        <v>0</v>
      </c>
      <c r="V15" s="8">
        <f t="shared" si="5"/>
        <v>0</v>
      </c>
      <c r="W15" s="8">
        <f t="shared" si="5"/>
        <v>0</v>
      </c>
      <c r="X15" s="8">
        <f t="shared" si="5"/>
        <v>0</v>
      </c>
      <c r="Y15" s="8">
        <f t="shared" si="6"/>
        <v>0</v>
      </c>
      <c r="Z15" s="8">
        <f t="shared" si="7"/>
        <v>0</v>
      </c>
      <c r="AA15" s="28">
        <f t="shared" si="8"/>
        <v>0</v>
      </c>
      <c r="AB15" s="11">
        <f t="shared" si="9"/>
        <v>0</v>
      </c>
      <c r="AC15" s="2">
        <f t="shared" si="10"/>
        <v>0</v>
      </c>
      <c r="AD15" s="11">
        <f t="shared" si="11"/>
        <v>0</v>
      </c>
      <c r="AE15" s="11">
        <f t="shared" si="12"/>
        <v>0</v>
      </c>
      <c r="AF15" s="4">
        <f t="shared" si="13"/>
        <v>0</v>
      </c>
      <c r="AG15" s="4">
        <f t="shared" si="14"/>
        <v>0</v>
      </c>
      <c r="AH15" s="4">
        <f t="shared" si="15"/>
        <v>0</v>
      </c>
      <c r="AI15" s="1">
        <f t="shared" si="16"/>
        <v>0</v>
      </c>
      <c r="AJ15" s="1">
        <f t="shared" si="17"/>
        <v>0</v>
      </c>
    </row>
    <row r="16" spans="1:36" ht="20.100000000000001" customHeight="1" x14ac:dyDescent="0.3">
      <c r="A16" s="33"/>
      <c r="B16" s="34">
        <v>44136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23">
        <f t="shared" si="1"/>
        <v>0</v>
      </c>
      <c r="J16" s="23">
        <f t="shared" si="2"/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22">
        <f t="shared" si="3"/>
        <v>0</v>
      </c>
      <c r="R16" s="22">
        <f t="shared" si="4"/>
        <v>0</v>
      </c>
      <c r="S16" s="8">
        <f t="shared" si="18"/>
        <v>0</v>
      </c>
      <c r="T16" s="8">
        <f t="shared" si="5"/>
        <v>0</v>
      </c>
      <c r="U16" s="8">
        <f t="shared" si="5"/>
        <v>0</v>
      </c>
      <c r="V16" s="8">
        <f t="shared" si="5"/>
        <v>0</v>
      </c>
      <c r="W16" s="8">
        <f t="shared" si="5"/>
        <v>0</v>
      </c>
      <c r="X16" s="8">
        <f t="shared" si="5"/>
        <v>0</v>
      </c>
      <c r="Y16" s="8">
        <f t="shared" si="6"/>
        <v>0</v>
      </c>
      <c r="Z16" s="8">
        <f t="shared" si="7"/>
        <v>0</v>
      </c>
      <c r="AA16" s="28">
        <f t="shared" si="8"/>
        <v>0</v>
      </c>
      <c r="AB16" s="11">
        <f t="shared" si="9"/>
        <v>0</v>
      </c>
      <c r="AC16" s="2">
        <f t="shared" si="10"/>
        <v>0</v>
      </c>
      <c r="AD16" s="11">
        <f t="shared" si="11"/>
        <v>0</v>
      </c>
      <c r="AE16" s="11">
        <f t="shared" si="12"/>
        <v>0</v>
      </c>
      <c r="AF16" s="4">
        <f t="shared" si="13"/>
        <v>0</v>
      </c>
      <c r="AG16" s="4">
        <f t="shared" si="14"/>
        <v>0</v>
      </c>
      <c r="AH16" s="4">
        <f t="shared" si="15"/>
        <v>0</v>
      </c>
      <c r="AI16" s="1">
        <f t="shared" si="16"/>
        <v>0</v>
      </c>
      <c r="AJ16" s="1">
        <f t="shared" si="17"/>
        <v>0</v>
      </c>
    </row>
    <row r="17" spans="1:36" ht="20.100000000000001" customHeight="1" x14ac:dyDescent="0.3">
      <c r="A17" s="33"/>
      <c r="B17" s="34">
        <v>44166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23">
        <f t="shared" si="1"/>
        <v>0</v>
      </c>
      <c r="J17" s="23">
        <f t="shared" si="2"/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22">
        <f t="shared" si="3"/>
        <v>0</v>
      </c>
      <c r="R17" s="22">
        <f t="shared" si="4"/>
        <v>0</v>
      </c>
      <c r="S17" s="8">
        <f t="shared" si="18"/>
        <v>0</v>
      </c>
      <c r="T17" s="8">
        <f t="shared" si="5"/>
        <v>0</v>
      </c>
      <c r="U17" s="8">
        <f t="shared" si="5"/>
        <v>0</v>
      </c>
      <c r="V17" s="8">
        <f t="shared" si="5"/>
        <v>0</v>
      </c>
      <c r="W17" s="8">
        <f t="shared" si="5"/>
        <v>0</v>
      </c>
      <c r="X17" s="8">
        <f t="shared" si="5"/>
        <v>0</v>
      </c>
      <c r="Y17" s="8">
        <f t="shared" si="6"/>
        <v>0</v>
      </c>
      <c r="Z17" s="8">
        <f t="shared" si="7"/>
        <v>0</v>
      </c>
      <c r="AA17" s="28">
        <f t="shared" si="8"/>
        <v>0</v>
      </c>
      <c r="AB17" s="11">
        <f>Y17+Z17</f>
        <v>0</v>
      </c>
      <c r="AC17" s="2">
        <f t="shared" si="10"/>
        <v>0</v>
      </c>
      <c r="AD17" s="11">
        <f t="shared" si="11"/>
        <v>0</v>
      </c>
      <c r="AE17" s="11">
        <f t="shared" si="12"/>
        <v>0</v>
      </c>
      <c r="AF17" s="4">
        <f t="shared" si="13"/>
        <v>0</v>
      </c>
      <c r="AG17" s="4">
        <f t="shared" si="14"/>
        <v>0</v>
      </c>
      <c r="AH17" s="4">
        <f t="shared" si="15"/>
        <v>0</v>
      </c>
      <c r="AI17" s="1">
        <f t="shared" si="16"/>
        <v>0</v>
      </c>
      <c r="AJ17" s="1">
        <f t="shared" si="17"/>
        <v>0</v>
      </c>
    </row>
    <row r="18" spans="1:36" ht="20.100000000000001" customHeight="1" x14ac:dyDescent="0.3">
      <c r="A18" s="33"/>
      <c r="B18" s="34">
        <v>44197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23">
        <f t="shared" si="1"/>
        <v>0</v>
      </c>
      <c r="J18" s="23">
        <f t="shared" si="2"/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22">
        <f t="shared" si="3"/>
        <v>0</v>
      </c>
      <c r="R18" s="22">
        <f t="shared" si="4"/>
        <v>0</v>
      </c>
      <c r="S18" s="8">
        <f t="shared" si="18"/>
        <v>0</v>
      </c>
      <c r="T18" s="8">
        <f t="shared" si="5"/>
        <v>0</v>
      </c>
      <c r="U18" s="8">
        <f t="shared" si="5"/>
        <v>0</v>
      </c>
      <c r="V18" s="8">
        <f t="shared" si="5"/>
        <v>0</v>
      </c>
      <c r="W18" s="8">
        <f t="shared" si="5"/>
        <v>0</v>
      </c>
      <c r="X18" s="8">
        <f t="shared" si="5"/>
        <v>0</v>
      </c>
      <c r="Y18" s="8">
        <f t="shared" si="6"/>
        <v>0</v>
      </c>
      <c r="Z18" s="8">
        <f t="shared" si="7"/>
        <v>0</v>
      </c>
      <c r="AA18" s="28">
        <f t="shared" si="8"/>
        <v>0</v>
      </c>
      <c r="AB18" s="11">
        <f t="shared" ref="AB18:AB20" si="19">Y18+Z18</f>
        <v>0</v>
      </c>
      <c r="AC18" s="2">
        <f t="shared" si="10"/>
        <v>0</v>
      </c>
      <c r="AD18" s="11">
        <f t="shared" si="11"/>
        <v>0</v>
      </c>
      <c r="AE18" s="11">
        <f t="shared" si="12"/>
        <v>0</v>
      </c>
      <c r="AF18" s="4">
        <f t="shared" si="13"/>
        <v>0</v>
      </c>
      <c r="AG18" s="4">
        <f t="shared" si="14"/>
        <v>0</v>
      </c>
      <c r="AH18" s="4">
        <f t="shared" si="15"/>
        <v>0</v>
      </c>
      <c r="AI18" s="1">
        <f t="shared" si="16"/>
        <v>0</v>
      </c>
      <c r="AJ18" s="1">
        <f t="shared" si="17"/>
        <v>0</v>
      </c>
    </row>
    <row r="19" spans="1:36" ht="20.100000000000001" customHeight="1" x14ac:dyDescent="0.3">
      <c r="A19" s="33"/>
      <c r="B19" s="34">
        <v>44228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23">
        <f t="shared" si="1"/>
        <v>0</v>
      </c>
      <c r="J19" s="23">
        <f t="shared" si="2"/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22">
        <v>2</v>
      </c>
      <c r="R19" s="22">
        <f t="shared" si="4"/>
        <v>0</v>
      </c>
      <c r="S19" s="8">
        <f t="shared" si="18"/>
        <v>0</v>
      </c>
      <c r="T19" s="8">
        <f t="shared" si="5"/>
        <v>0</v>
      </c>
      <c r="U19" s="8">
        <f t="shared" si="5"/>
        <v>0</v>
      </c>
      <c r="V19" s="8">
        <f t="shared" si="5"/>
        <v>0</v>
      </c>
      <c r="W19" s="8">
        <f t="shared" si="5"/>
        <v>0</v>
      </c>
      <c r="X19" s="8">
        <f t="shared" si="5"/>
        <v>0</v>
      </c>
      <c r="Y19" s="8">
        <f t="shared" si="6"/>
        <v>0</v>
      </c>
      <c r="Z19" s="8">
        <f t="shared" si="7"/>
        <v>0</v>
      </c>
      <c r="AA19" s="28">
        <f t="shared" si="8"/>
        <v>0</v>
      </c>
      <c r="AB19" s="11">
        <f t="shared" si="19"/>
        <v>0</v>
      </c>
      <c r="AC19" s="2">
        <f t="shared" si="10"/>
        <v>0</v>
      </c>
      <c r="AD19" s="11">
        <f t="shared" si="11"/>
        <v>0</v>
      </c>
      <c r="AE19" s="11">
        <f t="shared" si="12"/>
        <v>0</v>
      </c>
      <c r="AF19" s="4">
        <f t="shared" si="13"/>
        <v>0</v>
      </c>
      <c r="AG19" s="4">
        <f t="shared" si="14"/>
        <v>0</v>
      </c>
      <c r="AH19" s="4">
        <f t="shared" si="15"/>
        <v>0</v>
      </c>
      <c r="AI19" s="1">
        <f t="shared" si="16"/>
        <v>0</v>
      </c>
      <c r="AJ19" s="1">
        <f t="shared" si="17"/>
        <v>0</v>
      </c>
    </row>
    <row r="20" spans="1:36" ht="20.100000000000001" customHeight="1" x14ac:dyDescent="0.3">
      <c r="A20" s="33"/>
      <c r="B20" s="34">
        <v>44256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23">
        <f t="shared" si="1"/>
        <v>0</v>
      </c>
      <c r="J20" s="23">
        <f t="shared" si="2"/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22">
        <f t="shared" si="3"/>
        <v>0</v>
      </c>
      <c r="R20" s="22">
        <f t="shared" si="4"/>
        <v>0</v>
      </c>
      <c r="S20" s="8">
        <f t="shared" si="18"/>
        <v>0</v>
      </c>
      <c r="T20" s="8">
        <f t="shared" si="5"/>
        <v>0</v>
      </c>
      <c r="U20" s="8">
        <f t="shared" si="5"/>
        <v>0</v>
      </c>
      <c r="V20" s="8">
        <f t="shared" si="5"/>
        <v>0</v>
      </c>
      <c r="W20" s="8">
        <f t="shared" si="5"/>
        <v>0</v>
      </c>
      <c r="X20" s="8">
        <f t="shared" si="5"/>
        <v>0</v>
      </c>
      <c r="Y20" s="8">
        <f t="shared" si="6"/>
        <v>0</v>
      </c>
      <c r="Z20" s="8">
        <f t="shared" si="7"/>
        <v>0</v>
      </c>
      <c r="AA20" s="28">
        <f t="shared" si="8"/>
        <v>0</v>
      </c>
      <c r="AB20" s="11">
        <f t="shared" si="19"/>
        <v>0</v>
      </c>
      <c r="AC20" s="2">
        <f t="shared" si="10"/>
        <v>0</v>
      </c>
      <c r="AD20" s="11">
        <f t="shared" si="11"/>
        <v>0</v>
      </c>
      <c r="AE20" s="11">
        <f t="shared" si="12"/>
        <v>0</v>
      </c>
      <c r="AF20" s="4">
        <f t="shared" si="13"/>
        <v>0</v>
      </c>
      <c r="AG20" s="4">
        <f t="shared" si="14"/>
        <v>0</v>
      </c>
      <c r="AH20" s="4">
        <f t="shared" si="15"/>
        <v>0</v>
      </c>
      <c r="AI20" s="1">
        <f t="shared" si="16"/>
        <v>0</v>
      </c>
      <c r="AJ20" s="1">
        <f t="shared" si="17"/>
        <v>0</v>
      </c>
    </row>
    <row r="21" spans="1:36" s="3" customFormat="1" ht="24.75" customHeight="1" x14ac:dyDescent="0.3">
      <c r="B21" s="9" t="s">
        <v>10</v>
      </c>
      <c r="C21" s="7">
        <f t="shared" ref="C21:Z21" si="20">SUM(C9:C20)</f>
        <v>3</v>
      </c>
      <c r="D21" s="7">
        <f t="shared" si="20"/>
        <v>6</v>
      </c>
      <c r="E21" s="7">
        <f t="shared" si="20"/>
        <v>57</v>
      </c>
      <c r="F21" s="7">
        <f t="shared" si="20"/>
        <v>66</v>
      </c>
      <c r="G21" s="7">
        <f t="shared" si="20"/>
        <v>27</v>
      </c>
      <c r="H21" s="7">
        <f t="shared" si="20"/>
        <v>33</v>
      </c>
      <c r="I21" s="23">
        <f t="shared" si="20"/>
        <v>87</v>
      </c>
      <c r="J21" s="23">
        <f t="shared" si="20"/>
        <v>105</v>
      </c>
      <c r="K21" s="7">
        <f t="shared" si="20"/>
        <v>27</v>
      </c>
      <c r="L21" s="7">
        <f t="shared" si="20"/>
        <v>27</v>
      </c>
      <c r="M21" s="7">
        <f t="shared" si="20"/>
        <v>124</v>
      </c>
      <c r="N21" s="7">
        <f t="shared" si="20"/>
        <v>185</v>
      </c>
      <c r="O21" s="7">
        <f t="shared" si="20"/>
        <v>175</v>
      </c>
      <c r="P21" s="7">
        <f t="shared" si="20"/>
        <v>188</v>
      </c>
      <c r="Q21" s="23">
        <f t="shared" si="20"/>
        <v>328</v>
      </c>
      <c r="R21" s="23">
        <f t="shared" si="20"/>
        <v>400</v>
      </c>
      <c r="S21" s="7">
        <f t="shared" si="20"/>
        <v>30</v>
      </c>
      <c r="T21" s="7">
        <f t="shared" si="20"/>
        <v>33</v>
      </c>
      <c r="U21" s="7">
        <f t="shared" si="20"/>
        <v>181</v>
      </c>
      <c r="V21" s="7">
        <f t="shared" si="20"/>
        <v>251</v>
      </c>
      <c r="W21" s="7">
        <f t="shared" si="20"/>
        <v>202</v>
      </c>
      <c r="X21" s="7">
        <f t="shared" si="20"/>
        <v>221</v>
      </c>
      <c r="Y21" s="7">
        <f t="shared" si="20"/>
        <v>413</v>
      </c>
      <c r="Z21" s="7">
        <f t="shared" si="20"/>
        <v>505</v>
      </c>
      <c r="AA21" s="30"/>
      <c r="AB21" s="13">
        <f t="shared" ref="AB21:AH21" si="21">SUM(AB9:AB20)</f>
        <v>918</v>
      </c>
      <c r="AC21" s="14">
        <f t="shared" si="21"/>
        <v>63</v>
      </c>
      <c r="AD21" s="14">
        <f t="shared" si="21"/>
        <v>432</v>
      </c>
      <c r="AE21" s="14">
        <f t="shared" si="21"/>
        <v>423</v>
      </c>
      <c r="AF21" s="5">
        <f t="shared" si="21"/>
        <v>63</v>
      </c>
      <c r="AG21" s="5">
        <f t="shared" si="21"/>
        <v>383</v>
      </c>
      <c r="AH21" s="5">
        <f t="shared" si="21"/>
        <v>472</v>
      </c>
      <c r="AI21" s="15"/>
    </row>
    <row r="22" spans="1:36" x14ac:dyDescent="0.3">
      <c r="B22" s="16"/>
      <c r="U22" s="53"/>
      <c r="V22" s="53"/>
      <c r="W22" s="53"/>
      <c r="X22" s="53"/>
      <c r="Y22" s="53">
        <f>Y21+Z21</f>
        <v>918</v>
      </c>
      <c r="Z22" s="53"/>
      <c r="AA22" s="31"/>
      <c r="AB22" s="11">
        <f>Y21+Z21</f>
        <v>918</v>
      </c>
      <c r="AC22" s="6"/>
      <c r="AD22" s="12"/>
      <c r="AE22" s="12"/>
      <c r="AF22" s="17"/>
    </row>
    <row r="23" spans="1:36" x14ac:dyDescent="0.3">
      <c r="B23" s="16"/>
      <c r="C23" s="1">
        <f>E21+G21</f>
        <v>84</v>
      </c>
      <c r="D23" s="1">
        <f>F21+H21</f>
        <v>99</v>
      </c>
      <c r="E23" s="1">
        <v>8</v>
      </c>
      <c r="F23" s="1">
        <v>9</v>
      </c>
      <c r="H23" s="1">
        <f>M21+O21</f>
        <v>299</v>
      </c>
      <c r="I23" s="26">
        <f>N21+P21</f>
        <v>373</v>
      </c>
      <c r="J23" s="26">
        <v>17</v>
      </c>
      <c r="K23" s="1">
        <v>20</v>
      </c>
      <c r="L23" s="1">
        <f>SUM(H23:K23)</f>
        <v>709</v>
      </c>
      <c r="Y23" s="1">
        <f>Y21+Z21</f>
        <v>918</v>
      </c>
      <c r="AB23" s="11">
        <f>AB22/18</f>
        <v>51</v>
      </c>
      <c r="AC23" s="2" t="e">
        <f>#REF!+#REF!+#REF!</f>
        <v>#REF!</v>
      </c>
      <c r="AE23" s="12"/>
    </row>
    <row r="24" spans="1:36" x14ac:dyDescent="0.3">
      <c r="B24" s="16"/>
      <c r="C24" s="1">
        <f>C23+D23+E23+F23</f>
        <v>200</v>
      </c>
      <c r="I24" s="26">
        <f>I21+J21</f>
        <v>192</v>
      </c>
      <c r="L24" s="1">
        <f>C24+L23</f>
        <v>909</v>
      </c>
      <c r="AC24" s="2">
        <f>AC21+AD21+AE21</f>
        <v>918</v>
      </c>
      <c r="AE24" s="12"/>
      <c r="AF24" s="1">
        <v>35</v>
      </c>
      <c r="AG24" s="1">
        <v>125</v>
      </c>
      <c r="AH24" s="1">
        <v>143</v>
      </c>
      <c r="AI24" s="1">
        <f>SUM(AF24:AH24)</f>
        <v>303</v>
      </c>
    </row>
    <row r="25" spans="1:36" x14ac:dyDescent="0.3">
      <c r="B25" s="16"/>
      <c r="AB25" s="11" t="e">
        <f>#REF!+#REF!+#REF!</f>
        <v>#REF!</v>
      </c>
    </row>
    <row r="26" spans="1:36" x14ac:dyDescent="0.3">
      <c r="D26" s="1">
        <f>36+38+55+69</f>
        <v>198</v>
      </c>
      <c r="AB26" s="11">
        <f>425/21</f>
        <v>20.238095238095237</v>
      </c>
    </row>
    <row r="27" spans="1:36" x14ac:dyDescent="0.3">
      <c r="D27" s="1">
        <f>39+28+58+69</f>
        <v>194</v>
      </c>
    </row>
    <row r="28" spans="1:36" x14ac:dyDescent="0.3">
      <c r="AB28" s="11">
        <v>22</v>
      </c>
      <c r="AC28" s="2">
        <v>4</v>
      </c>
      <c r="AD28" s="11">
        <v>20</v>
      </c>
    </row>
  </sheetData>
  <mergeCells count="22">
    <mergeCell ref="B5:Z5"/>
    <mergeCell ref="C6:J6"/>
    <mergeCell ref="K6:R6"/>
    <mergeCell ref="S6:Z6"/>
    <mergeCell ref="B1:Z1"/>
    <mergeCell ref="B2:Z2"/>
    <mergeCell ref="B3:Z3"/>
    <mergeCell ref="B4:Z4"/>
    <mergeCell ref="Y22:Z22"/>
    <mergeCell ref="U22:X22"/>
    <mergeCell ref="Y7:Z7"/>
    <mergeCell ref="C7:D7"/>
    <mergeCell ref="E7:F7"/>
    <mergeCell ref="G7:H7"/>
    <mergeCell ref="I7:J7"/>
    <mergeCell ref="W7:X7"/>
    <mergeCell ref="K7:L7"/>
    <mergeCell ref="M7:N7"/>
    <mergeCell ref="O7:P7"/>
    <mergeCell ref="Q7:R7"/>
    <mergeCell ref="S7:T7"/>
    <mergeCell ref="U7:V7"/>
  </mergeCells>
  <printOptions horizontalCentered="1"/>
  <pageMargins left="0.24" right="0.2" top="0.3" bottom="0.14000000000000001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N29"/>
  <sheetViews>
    <sheetView tabSelected="1" zoomScale="82" zoomScaleNormal="111" zoomScaleSheetLayoutView="100" workbookViewId="0">
      <selection activeCell="I12" sqref="I12"/>
    </sheetView>
  </sheetViews>
  <sheetFormatPr defaultColWidth="9.109375" defaultRowHeight="15.6" x14ac:dyDescent="0.3"/>
  <cols>
    <col min="1" max="1" width="9.109375" style="46" customWidth="1"/>
    <col min="2" max="2" width="20.88671875" style="46" customWidth="1"/>
    <col min="3" max="8" width="4.44140625" style="46" customWidth="1"/>
    <col min="9" max="10" width="8.33203125" style="51" customWidth="1"/>
    <col min="11" max="11" width="4.44140625" style="46" customWidth="1"/>
    <col min="12" max="12" width="4.5546875" style="46" customWidth="1"/>
    <col min="13" max="16" width="4.44140625" style="46" customWidth="1"/>
    <col min="17" max="18" width="8.33203125" style="52" customWidth="1"/>
    <col min="19" max="19" width="4.33203125" style="46" customWidth="1"/>
    <col min="20" max="20" width="5.109375" style="46" customWidth="1"/>
    <col min="21" max="23" width="5.21875" style="46" customWidth="1"/>
    <col min="24" max="24" width="4.44140625" style="46" customWidth="1"/>
    <col min="25" max="26" width="8.33203125" style="46" customWidth="1"/>
    <col min="27" max="27" width="7.5546875" style="46" customWidth="1"/>
    <col min="28" max="28" width="9.109375" style="11"/>
    <col min="29" max="29" width="7" style="2" customWidth="1"/>
    <col min="30" max="30" width="6.88671875" style="11" customWidth="1"/>
    <col min="31" max="31" width="7" style="11" customWidth="1"/>
    <col min="32" max="32" width="7.44140625" style="46" customWidth="1"/>
    <col min="33" max="33" width="13.44140625" style="46" customWidth="1"/>
    <col min="34" max="34" width="7.109375" style="46" customWidth="1"/>
    <col min="35" max="35" width="7.88671875" style="46" customWidth="1"/>
    <col min="36" max="36" width="8.77734375" style="46" customWidth="1"/>
    <col min="37" max="37" width="8.88671875" style="46" customWidth="1"/>
    <col min="38" max="16384" width="9.109375" style="46"/>
  </cols>
  <sheetData>
    <row r="2" spans="1:40" ht="24.75" customHeight="1" x14ac:dyDescent="0.3">
      <c r="B2" s="56" t="s">
        <v>11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40"/>
    </row>
    <row r="3" spans="1:40" ht="24" customHeight="1" x14ac:dyDescent="0.3">
      <c r="B3" s="65" t="s">
        <v>29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7"/>
      <c r="AA3" s="41"/>
    </row>
    <row r="4" spans="1:40" ht="26.25" customHeight="1" x14ac:dyDescent="0.3">
      <c r="B4" s="68" t="s">
        <v>28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41"/>
    </row>
    <row r="5" spans="1:40" ht="32.4" customHeight="1" x14ac:dyDescent="0.3">
      <c r="B5" s="69" t="s">
        <v>27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1"/>
      <c r="AA5" s="41"/>
    </row>
    <row r="6" spans="1:40" ht="33.7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40"/>
    </row>
    <row r="7" spans="1:40" s="11" customFormat="1" ht="20.100000000000001" customHeight="1" x14ac:dyDescent="0.3">
      <c r="B7" s="79" t="s">
        <v>24</v>
      </c>
      <c r="C7" s="54" t="s">
        <v>0</v>
      </c>
      <c r="D7" s="54"/>
      <c r="E7" s="54"/>
      <c r="F7" s="54"/>
      <c r="G7" s="54"/>
      <c r="H7" s="54"/>
      <c r="I7" s="54"/>
      <c r="J7" s="54"/>
      <c r="K7" s="54" t="s">
        <v>1</v>
      </c>
      <c r="L7" s="54"/>
      <c r="M7" s="54"/>
      <c r="N7" s="54"/>
      <c r="O7" s="54"/>
      <c r="P7" s="54"/>
      <c r="Q7" s="54"/>
      <c r="R7" s="54"/>
      <c r="S7" s="54" t="s">
        <v>2</v>
      </c>
      <c r="T7" s="54"/>
      <c r="U7" s="54"/>
      <c r="V7" s="54"/>
      <c r="W7" s="54"/>
      <c r="X7" s="54"/>
      <c r="Y7" s="54"/>
      <c r="Z7" s="54"/>
      <c r="AF7" s="41"/>
      <c r="AG7" s="11" t="s">
        <v>21</v>
      </c>
      <c r="AH7" s="2"/>
    </row>
    <row r="8" spans="1:40" s="11" customFormat="1" ht="37.5" customHeight="1" x14ac:dyDescent="0.3">
      <c r="B8" s="80"/>
      <c r="C8" s="55" t="s">
        <v>4</v>
      </c>
      <c r="D8" s="55"/>
      <c r="E8" s="55" t="s">
        <v>5</v>
      </c>
      <c r="F8" s="55"/>
      <c r="G8" s="55" t="s">
        <v>6</v>
      </c>
      <c r="H8" s="55"/>
      <c r="I8" s="56" t="s">
        <v>7</v>
      </c>
      <c r="J8" s="56"/>
      <c r="K8" s="55" t="s">
        <v>4</v>
      </c>
      <c r="L8" s="55"/>
      <c r="M8" s="55" t="s">
        <v>5</v>
      </c>
      <c r="N8" s="55"/>
      <c r="O8" s="55" t="s">
        <v>6</v>
      </c>
      <c r="P8" s="55"/>
      <c r="Q8" s="54" t="s">
        <v>7</v>
      </c>
      <c r="R8" s="54"/>
      <c r="S8" s="55" t="s">
        <v>4</v>
      </c>
      <c r="T8" s="55"/>
      <c r="U8" s="55" t="s">
        <v>5</v>
      </c>
      <c r="V8" s="55"/>
      <c r="W8" s="55" t="s">
        <v>6</v>
      </c>
      <c r="X8" s="55"/>
      <c r="Y8" s="54" t="s">
        <v>7</v>
      </c>
      <c r="Z8" s="54"/>
      <c r="AH8" s="2"/>
    </row>
    <row r="9" spans="1:40" s="11" customFormat="1" ht="20.100000000000001" customHeight="1" x14ac:dyDescent="0.3">
      <c r="B9" s="36"/>
      <c r="C9" s="37" t="s">
        <v>8</v>
      </c>
      <c r="D9" s="37" t="s">
        <v>9</v>
      </c>
      <c r="E9" s="37" t="s">
        <v>8</v>
      </c>
      <c r="F9" s="37" t="s">
        <v>9</v>
      </c>
      <c r="G9" s="37" t="s">
        <v>8</v>
      </c>
      <c r="H9" s="37" t="s">
        <v>9</v>
      </c>
      <c r="I9" s="35" t="s">
        <v>8</v>
      </c>
      <c r="J9" s="35" t="s">
        <v>9</v>
      </c>
      <c r="K9" s="37" t="s">
        <v>8</v>
      </c>
      <c r="L9" s="37" t="s">
        <v>9</v>
      </c>
      <c r="M9" s="37" t="s">
        <v>8</v>
      </c>
      <c r="N9" s="37" t="s">
        <v>9</v>
      </c>
      <c r="O9" s="37" t="s">
        <v>8</v>
      </c>
      <c r="P9" s="37" t="s">
        <v>9</v>
      </c>
      <c r="Q9" s="42" t="s">
        <v>8</v>
      </c>
      <c r="R9" s="42" t="s">
        <v>9</v>
      </c>
      <c r="S9" s="37" t="s">
        <v>8</v>
      </c>
      <c r="T9" s="37" t="s">
        <v>9</v>
      </c>
      <c r="U9" s="37" t="s">
        <v>8</v>
      </c>
      <c r="V9" s="37" t="s">
        <v>9</v>
      </c>
      <c r="W9" s="37" t="s">
        <v>8</v>
      </c>
      <c r="X9" s="37" t="s">
        <v>9</v>
      </c>
      <c r="Y9" s="42" t="s">
        <v>8</v>
      </c>
      <c r="Z9" s="42" t="s">
        <v>9</v>
      </c>
      <c r="AH9" s="2"/>
      <c r="AK9" s="2"/>
      <c r="AL9" s="2"/>
      <c r="AM9" s="54" t="s">
        <v>26</v>
      </c>
      <c r="AN9" s="54"/>
    </row>
    <row r="10" spans="1:40" ht="20.100000000000001" customHeight="1" x14ac:dyDescent="0.3">
      <c r="A10" s="47"/>
      <c r="B10" s="38">
        <v>43922</v>
      </c>
      <c r="C10" s="36">
        <v>17</v>
      </c>
      <c r="D10" s="36">
        <v>12</v>
      </c>
      <c r="E10" s="36">
        <v>15</v>
      </c>
      <c r="F10" s="36">
        <v>22</v>
      </c>
      <c r="G10" s="36">
        <v>6</v>
      </c>
      <c r="H10" s="36">
        <v>5</v>
      </c>
      <c r="I10" s="43">
        <v>47</v>
      </c>
      <c r="J10" s="43">
        <v>63</v>
      </c>
      <c r="K10" s="36">
        <v>28</v>
      </c>
      <c r="L10" s="36">
        <v>24</v>
      </c>
      <c r="M10" s="36">
        <v>39</v>
      </c>
      <c r="N10" s="36">
        <v>73</v>
      </c>
      <c r="O10" s="36">
        <v>21</v>
      </c>
      <c r="P10" s="36">
        <v>24</v>
      </c>
      <c r="Q10" s="39">
        <v>58</v>
      </c>
      <c r="R10" s="39">
        <v>91</v>
      </c>
      <c r="S10" s="36">
        <v>45</v>
      </c>
      <c r="T10" s="36">
        <v>36</v>
      </c>
      <c r="U10" s="36">
        <v>54</v>
      </c>
      <c r="V10" s="36">
        <v>95</v>
      </c>
      <c r="W10" s="36">
        <v>27</v>
      </c>
      <c r="X10" s="36">
        <v>29</v>
      </c>
      <c r="Y10" s="39">
        <f>S10+U10+W10</f>
        <v>126</v>
      </c>
      <c r="Z10" s="39">
        <f>T10+V10+X10</f>
        <v>160</v>
      </c>
      <c r="AH10" s="2"/>
      <c r="AI10" s="11"/>
      <c r="AJ10" s="11"/>
      <c r="AK10" s="2"/>
      <c r="AL10" s="2"/>
      <c r="AM10" s="54">
        <f t="shared" ref="AM10:AM22" si="0">SUM(Y10:Z10)</f>
        <v>286</v>
      </c>
      <c r="AN10" s="54"/>
    </row>
    <row r="11" spans="1:40" ht="20.100000000000001" customHeight="1" x14ac:dyDescent="0.3">
      <c r="A11" s="47"/>
      <c r="B11" s="38">
        <v>43952</v>
      </c>
      <c r="C11" s="36">
        <v>17</v>
      </c>
      <c r="D11" s="36">
        <v>15</v>
      </c>
      <c r="E11" s="36">
        <v>41</v>
      </c>
      <c r="F11" s="36">
        <v>25</v>
      </c>
      <c r="G11" s="36">
        <v>8</v>
      </c>
      <c r="H11" s="36">
        <v>8</v>
      </c>
      <c r="I11" s="43">
        <v>79</v>
      </c>
      <c r="J11" s="43">
        <v>91</v>
      </c>
      <c r="K11" s="36">
        <v>36</v>
      </c>
      <c r="L11" s="36">
        <v>29</v>
      </c>
      <c r="M11" s="36">
        <v>44</v>
      </c>
      <c r="N11" s="36">
        <v>79</v>
      </c>
      <c r="O11" s="36">
        <v>19</v>
      </c>
      <c r="P11" s="36">
        <v>15</v>
      </c>
      <c r="Q11" s="39">
        <v>104</v>
      </c>
      <c r="R11" s="39">
        <v>134</v>
      </c>
      <c r="S11" s="36">
        <v>53</v>
      </c>
      <c r="T11" s="36">
        <v>44</v>
      </c>
      <c r="U11" s="36">
        <v>85</v>
      </c>
      <c r="V11" s="36">
        <v>104</v>
      </c>
      <c r="W11" s="36">
        <v>27</v>
      </c>
      <c r="X11" s="36">
        <v>23</v>
      </c>
      <c r="Y11" s="39">
        <f t="shared" ref="Y11:Z21" si="1">S11+U11+W11</f>
        <v>165</v>
      </c>
      <c r="Z11" s="39">
        <f t="shared" si="1"/>
        <v>171</v>
      </c>
      <c r="AH11" s="2"/>
      <c r="AI11" s="11"/>
      <c r="AJ11" s="44" t="s">
        <v>30</v>
      </c>
      <c r="AK11" s="45" t="s">
        <v>31</v>
      </c>
      <c r="AL11" s="2"/>
      <c r="AM11" s="54">
        <f t="shared" si="0"/>
        <v>336</v>
      </c>
      <c r="AN11" s="54"/>
    </row>
    <row r="12" spans="1:40" ht="20.100000000000001" customHeight="1" x14ac:dyDescent="0.3">
      <c r="A12" s="47"/>
      <c r="B12" s="38">
        <v>43983</v>
      </c>
      <c r="C12" s="36">
        <v>31</v>
      </c>
      <c r="D12" s="36">
        <v>27</v>
      </c>
      <c r="E12" s="36">
        <v>54</v>
      </c>
      <c r="F12" s="36">
        <v>66</v>
      </c>
      <c r="G12" s="36">
        <v>14</v>
      </c>
      <c r="H12" s="36">
        <v>12</v>
      </c>
      <c r="I12" s="43">
        <f t="shared" ref="I11:J21" si="2">C12+E12+G12</f>
        <v>99</v>
      </c>
      <c r="J12" s="43">
        <f t="shared" si="2"/>
        <v>105</v>
      </c>
      <c r="K12" s="36">
        <v>48</v>
      </c>
      <c r="L12" s="36">
        <v>33</v>
      </c>
      <c r="M12" s="36">
        <v>81</v>
      </c>
      <c r="N12" s="36">
        <v>51</v>
      </c>
      <c r="O12" s="36">
        <v>16</v>
      </c>
      <c r="P12" s="36">
        <v>12</v>
      </c>
      <c r="Q12" s="39">
        <f t="shared" ref="Q11:R21" si="3">K12+M12+O12</f>
        <v>145</v>
      </c>
      <c r="R12" s="39">
        <f t="shared" si="3"/>
        <v>96</v>
      </c>
      <c r="S12" s="36">
        <v>79</v>
      </c>
      <c r="T12" s="36">
        <v>60</v>
      </c>
      <c r="U12" s="36">
        <v>135</v>
      </c>
      <c r="V12" s="36">
        <v>117</v>
      </c>
      <c r="W12" s="36">
        <v>30</v>
      </c>
      <c r="X12" s="36">
        <v>24</v>
      </c>
      <c r="Y12" s="39">
        <f t="shared" si="1"/>
        <v>244</v>
      </c>
      <c r="Z12" s="39">
        <f t="shared" si="1"/>
        <v>201</v>
      </c>
      <c r="AH12" s="2"/>
      <c r="AI12" s="11"/>
      <c r="AJ12" s="44">
        <f>SUM(Y10:Y21)</f>
        <v>2044</v>
      </c>
      <c r="AK12" s="44">
        <f>SUM(Z10:Z21)</f>
        <v>2555</v>
      </c>
      <c r="AL12" s="2"/>
      <c r="AM12" s="54">
        <f t="shared" si="0"/>
        <v>445</v>
      </c>
      <c r="AN12" s="54"/>
    </row>
    <row r="13" spans="1:40" ht="20.100000000000001" customHeight="1" x14ac:dyDescent="0.3">
      <c r="A13" s="47"/>
      <c r="B13" s="38">
        <v>44013</v>
      </c>
      <c r="C13" s="36">
        <v>25</v>
      </c>
      <c r="D13" s="36">
        <v>33</v>
      </c>
      <c r="E13" s="36">
        <v>48</v>
      </c>
      <c r="F13" s="36">
        <v>80</v>
      </c>
      <c r="G13" s="36">
        <v>7</v>
      </c>
      <c r="H13" s="36">
        <v>16</v>
      </c>
      <c r="I13" s="43">
        <f t="shared" si="2"/>
        <v>80</v>
      </c>
      <c r="J13" s="43">
        <f t="shared" si="2"/>
        <v>129</v>
      </c>
      <c r="K13" s="36">
        <v>31</v>
      </c>
      <c r="L13" s="36">
        <v>31</v>
      </c>
      <c r="M13" s="36">
        <v>68</v>
      </c>
      <c r="N13" s="36">
        <v>86</v>
      </c>
      <c r="O13" s="36">
        <v>19</v>
      </c>
      <c r="P13" s="36">
        <v>16</v>
      </c>
      <c r="Q13" s="39">
        <f t="shared" si="3"/>
        <v>118</v>
      </c>
      <c r="R13" s="39">
        <f t="shared" si="3"/>
        <v>133</v>
      </c>
      <c r="S13" s="36">
        <v>56</v>
      </c>
      <c r="T13" s="36">
        <v>64</v>
      </c>
      <c r="U13" s="36">
        <v>116</v>
      </c>
      <c r="V13" s="36">
        <v>166</v>
      </c>
      <c r="W13" s="36">
        <v>26</v>
      </c>
      <c r="X13" s="36">
        <v>32</v>
      </c>
      <c r="Y13" s="39">
        <f t="shared" si="1"/>
        <v>198</v>
      </c>
      <c r="Z13" s="39">
        <f t="shared" si="1"/>
        <v>262</v>
      </c>
      <c r="AH13" s="2"/>
      <c r="AI13" s="11"/>
      <c r="AJ13" s="54">
        <f>SUM(AJ12:AK12)</f>
        <v>4599</v>
      </c>
      <c r="AK13" s="54"/>
      <c r="AL13" s="2"/>
      <c r="AM13" s="54">
        <f t="shared" si="0"/>
        <v>460</v>
      </c>
      <c r="AN13" s="54"/>
    </row>
    <row r="14" spans="1:40" ht="20.100000000000001" customHeight="1" x14ac:dyDescent="0.3">
      <c r="A14" s="47"/>
      <c r="B14" s="38">
        <v>44044</v>
      </c>
      <c r="C14" s="36">
        <v>14</v>
      </c>
      <c r="D14" s="36">
        <v>18</v>
      </c>
      <c r="E14" s="36">
        <v>46</v>
      </c>
      <c r="F14" s="36">
        <v>60</v>
      </c>
      <c r="G14" s="36">
        <v>8</v>
      </c>
      <c r="H14" s="36">
        <v>8</v>
      </c>
      <c r="I14" s="43">
        <f t="shared" si="2"/>
        <v>68</v>
      </c>
      <c r="J14" s="43">
        <f t="shared" si="2"/>
        <v>86</v>
      </c>
      <c r="K14" s="36">
        <v>24</v>
      </c>
      <c r="L14" s="36">
        <v>33</v>
      </c>
      <c r="M14" s="36">
        <v>62</v>
      </c>
      <c r="N14" s="36">
        <v>79</v>
      </c>
      <c r="O14" s="36">
        <v>8</v>
      </c>
      <c r="P14" s="36">
        <v>13</v>
      </c>
      <c r="Q14" s="39">
        <f t="shared" si="3"/>
        <v>94</v>
      </c>
      <c r="R14" s="39">
        <f t="shared" si="3"/>
        <v>125</v>
      </c>
      <c r="S14" s="36">
        <v>38</v>
      </c>
      <c r="T14" s="36">
        <f t="shared" ref="T14:X21" si="4">D14+L14</f>
        <v>51</v>
      </c>
      <c r="U14" s="36">
        <f t="shared" si="4"/>
        <v>108</v>
      </c>
      <c r="V14" s="36">
        <f t="shared" si="4"/>
        <v>139</v>
      </c>
      <c r="W14" s="36">
        <f t="shared" si="4"/>
        <v>16</v>
      </c>
      <c r="X14" s="36">
        <f t="shared" si="4"/>
        <v>21</v>
      </c>
      <c r="Y14" s="39">
        <f t="shared" si="1"/>
        <v>162</v>
      </c>
      <c r="Z14" s="39">
        <f t="shared" si="1"/>
        <v>211</v>
      </c>
      <c r="AH14" s="2"/>
      <c r="AI14" s="11"/>
      <c r="AJ14" s="11"/>
      <c r="AK14" s="2"/>
      <c r="AL14" s="2"/>
      <c r="AM14" s="54">
        <f t="shared" si="0"/>
        <v>373</v>
      </c>
      <c r="AN14" s="54"/>
    </row>
    <row r="15" spans="1:40" ht="20.100000000000001" customHeight="1" x14ac:dyDescent="0.3">
      <c r="A15" s="47"/>
      <c r="B15" s="38">
        <v>44075</v>
      </c>
      <c r="C15" s="36">
        <v>17</v>
      </c>
      <c r="D15" s="36">
        <v>19</v>
      </c>
      <c r="E15" s="36">
        <v>48</v>
      </c>
      <c r="F15" s="36">
        <v>60</v>
      </c>
      <c r="G15" s="36">
        <v>9</v>
      </c>
      <c r="H15" s="36">
        <v>12</v>
      </c>
      <c r="I15" s="43">
        <f t="shared" si="2"/>
        <v>74</v>
      </c>
      <c r="J15" s="43">
        <f t="shared" si="2"/>
        <v>91</v>
      </c>
      <c r="K15" s="36">
        <v>25</v>
      </c>
      <c r="L15" s="36">
        <v>26</v>
      </c>
      <c r="M15" s="36">
        <v>58</v>
      </c>
      <c r="N15" s="36">
        <v>91</v>
      </c>
      <c r="O15" s="36">
        <v>12</v>
      </c>
      <c r="P15" s="36">
        <v>15</v>
      </c>
      <c r="Q15" s="39">
        <f t="shared" si="3"/>
        <v>95</v>
      </c>
      <c r="R15" s="39">
        <f t="shared" si="3"/>
        <v>132</v>
      </c>
      <c r="S15" s="36">
        <f t="shared" ref="S15:S21" si="5">C15+K15</f>
        <v>42</v>
      </c>
      <c r="T15" s="36">
        <f t="shared" si="4"/>
        <v>45</v>
      </c>
      <c r="U15" s="36">
        <f t="shared" si="4"/>
        <v>106</v>
      </c>
      <c r="V15" s="36">
        <f t="shared" si="4"/>
        <v>151</v>
      </c>
      <c r="W15" s="36">
        <f t="shared" si="4"/>
        <v>21</v>
      </c>
      <c r="X15" s="36">
        <f t="shared" si="4"/>
        <v>27</v>
      </c>
      <c r="Y15" s="39">
        <f t="shared" si="1"/>
        <v>169</v>
      </c>
      <c r="Z15" s="39">
        <f t="shared" si="1"/>
        <v>223</v>
      </c>
      <c r="AH15" s="2"/>
      <c r="AI15" s="11"/>
      <c r="AJ15" s="11"/>
      <c r="AK15" s="2"/>
      <c r="AL15" s="2"/>
      <c r="AM15" s="54">
        <f t="shared" si="0"/>
        <v>392</v>
      </c>
      <c r="AN15" s="54"/>
    </row>
    <row r="16" spans="1:40" ht="20.100000000000001" customHeight="1" x14ac:dyDescent="0.3">
      <c r="A16" s="47"/>
      <c r="B16" s="38">
        <v>44105</v>
      </c>
      <c r="C16" s="36">
        <v>20</v>
      </c>
      <c r="D16" s="36">
        <v>23</v>
      </c>
      <c r="E16" s="36">
        <v>35</v>
      </c>
      <c r="F16" s="36">
        <v>58</v>
      </c>
      <c r="G16" s="36">
        <v>12</v>
      </c>
      <c r="H16" s="36">
        <v>6</v>
      </c>
      <c r="I16" s="43">
        <f t="shared" si="2"/>
        <v>67</v>
      </c>
      <c r="J16" s="43">
        <f t="shared" si="2"/>
        <v>87</v>
      </c>
      <c r="K16" s="36">
        <v>26</v>
      </c>
      <c r="L16" s="36">
        <v>25</v>
      </c>
      <c r="M16" s="36">
        <v>60</v>
      </c>
      <c r="N16" s="36">
        <v>87</v>
      </c>
      <c r="O16" s="36">
        <v>12</v>
      </c>
      <c r="P16" s="36">
        <v>17</v>
      </c>
      <c r="Q16" s="39">
        <f t="shared" si="3"/>
        <v>98</v>
      </c>
      <c r="R16" s="39">
        <f t="shared" si="3"/>
        <v>129</v>
      </c>
      <c r="S16" s="36">
        <f t="shared" si="5"/>
        <v>46</v>
      </c>
      <c r="T16" s="36">
        <f t="shared" si="4"/>
        <v>48</v>
      </c>
      <c r="U16" s="36">
        <f t="shared" si="4"/>
        <v>95</v>
      </c>
      <c r="V16" s="36">
        <f t="shared" si="4"/>
        <v>145</v>
      </c>
      <c r="W16" s="36">
        <f t="shared" si="4"/>
        <v>24</v>
      </c>
      <c r="X16" s="36">
        <f t="shared" si="4"/>
        <v>23</v>
      </c>
      <c r="Y16" s="39">
        <f t="shared" si="1"/>
        <v>165</v>
      </c>
      <c r="Z16" s="39">
        <f t="shared" si="1"/>
        <v>216</v>
      </c>
      <c r="AH16" s="2"/>
      <c r="AI16" s="11"/>
      <c r="AJ16" s="11"/>
      <c r="AK16" s="2"/>
      <c r="AL16" s="2"/>
      <c r="AM16" s="54">
        <f t="shared" si="0"/>
        <v>381</v>
      </c>
      <c r="AN16" s="54"/>
    </row>
    <row r="17" spans="1:40" ht="20.100000000000001" customHeight="1" x14ac:dyDescent="0.3">
      <c r="A17" s="47"/>
      <c r="B17" s="38">
        <v>44136</v>
      </c>
      <c r="C17" s="36">
        <v>9</v>
      </c>
      <c r="D17" s="36">
        <v>23</v>
      </c>
      <c r="E17" s="36">
        <v>32</v>
      </c>
      <c r="F17" s="36">
        <v>40</v>
      </c>
      <c r="G17" s="36">
        <v>7</v>
      </c>
      <c r="H17" s="36">
        <v>7</v>
      </c>
      <c r="I17" s="43">
        <v>48</v>
      </c>
      <c r="J17" s="43">
        <f t="shared" si="2"/>
        <v>70</v>
      </c>
      <c r="K17" s="36">
        <v>17</v>
      </c>
      <c r="L17" s="36">
        <v>24</v>
      </c>
      <c r="M17" s="36">
        <v>39</v>
      </c>
      <c r="N17" s="36">
        <v>60</v>
      </c>
      <c r="O17" s="36">
        <v>10</v>
      </c>
      <c r="P17" s="36">
        <v>9</v>
      </c>
      <c r="Q17" s="39">
        <f t="shared" si="3"/>
        <v>66</v>
      </c>
      <c r="R17" s="39">
        <f t="shared" si="3"/>
        <v>93</v>
      </c>
      <c r="S17" s="36">
        <f t="shared" si="5"/>
        <v>26</v>
      </c>
      <c r="T17" s="36">
        <f t="shared" si="4"/>
        <v>47</v>
      </c>
      <c r="U17" s="36">
        <f t="shared" si="4"/>
        <v>71</v>
      </c>
      <c r="V17" s="36">
        <f t="shared" si="4"/>
        <v>100</v>
      </c>
      <c r="W17" s="36">
        <f t="shared" si="4"/>
        <v>17</v>
      </c>
      <c r="X17" s="36">
        <f t="shared" si="4"/>
        <v>16</v>
      </c>
      <c r="Y17" s="39">
        <f t="shared" si="1"/>
        <v>114</v>
      </c>
      <c r="Z17" s="39">
        <f t="shared" si="1"/>
        <v>163</v>
      </c>
      <c r="AH17" s="2"/>
      <c r="AI17" s="11"/>
      <c r="AJ17" s="11"/>
      <c r="AK17" s="2"/>
      <c r="AL17" s="2"/>
      <c r="AM17" s="54">
        <f t="shared" si="0"/>
        <v>277</v>
      </c>
      <c r="AN17" s="54"/>
    </row>
    <row r="18" spans="1:40" ht="20.100000000000001" customHeight="1" x14ac:dyDescent="0.3">
      <c r="A18" s="47"/>
      <c r="B18" s="38">
        <v>44166</v>
      </c>
      <c r="C18" s="36">
        <v>21</v>
      </c>
      <c r="D18" s="36">
        <v>15</v>
      </c>
      <c r="E18" s="36">
        <v>30</v>
      </c>
      <c r="F18" s="36">
        <v>53</v>
      </c>
      <c r="G18" s="36">
        <v>7</v>
      </c>
      <c r="H18" s="36">
        <v>9</v>
      </c>
      <c r="I18" s="43">
        <f t="shared" si="2"/>
        <v>58</v>
      </c>
      <c r="J18" s="43">
        <f t="shared" si="2"/>
        <v>77</v>
      </c>
      <c r="K18" s="36">
        <v>22</v>
      </c>
      <c r="L18" s="36">
        <v>32</v>
      </c>
      <c r="M18" s="36">
        <v>43</v>
      </c>
      <c r="N18" s="36">
        <v>69</v>
      </c>
      <c r="O18" s="36">
        <v>14</v>
      </c>
      <c r="P18" s="36">
        <v>13</v>
      </c>
      <c r="Q18" s="39">
        <f t="shared" si="3"/>
        <v>79</v>
      </c>
      <c r="R18" s="39">
        <f t="shared" si="3"/>
        <v>114</v>
      </c>
      <c r="S18" s="36">
        <f t="shared" si="5"/>
        <v>43</v>
      </c>
      <c r="T18" s="36">
        <f t="shared" si="4"/>
        <v>47</v>
      </c>
      <c r="U18" s="36">
        <f t="shared" si="4"/>
        <v>73</v>
      </c>
      <c r="V18" s="36">
        <f t="shared" si="4"/>
        <v>122</v>
      </c>
      <c r="W18" s="36">
        <f t="shared" si="4"/>
        <v>21</v>
      </c>
      <c r="X18" s="36">
        <f t="shared" si="4"/>
        <v>22</v>
      </c>
      <c r="Y18" s="39">
        <f t="shared" si="1"/>
        <v>137</v>
      </c>
      <c r="Z18" s="39">
        <f t="shared" si="1"/>
        <v>191</v>
      </c>
      <c r="AH18" s="2"/>
      <c r="AI18" s="11"/>
      <c r="AJ18" s="11"/>
      <c r="AK18" s="2"/>
      <c r="AL18" s="2"/>
      <c r="AM18" s="54">
        <f t="shared" si="0"/>
        <v>328</v>
      </c>
      <c r="AN18" s="54"/>
    </row>
    <row r="19" spans="1:40" ht="20.100000000000001" customHeight="1" x14ac:dyDescent="0.3">
      <c r="A19" s="47"/>
      <c r="B19" s="38">
        <v>44197</v>
      </c>
      <c r="C19" s="36">
        <v>22</v>
      </c>
      <c r="D19" s="36">
        <v>17</v>
      </c>
      <c r="E19" s="36">
        <v>43</v>
      </c>
      <c r="F19" s="36">
        <v>79</v>
      </c>
      <c r="G19" s="36">
        <v>12</v>
      </c>
      <c r="H19" s="36">
        <v>10</v>
      </c>
      <c r="I19" s="43">
        <f t="shared" si="2"/>
        <v>77</v>
      </c>
      <c r="J19" s="43">
        <f t="shared" si="2"/>
        <v>106</v>
      </c>
      <c r="K19" s="36">
        <v>23</v>
      </c>
      <c r="L19" s="36">
        <v>29</v>
      </c>
      <c r="M19" s="36">
        <v>69</v>
      </c>
      <c r="N19" s="36">
        <v>102</v>
      </c>
      <c r="O19" s="36">
        <v>16</v>
      </c>
      <c r="P19" s="36">
        <v>20</v>
      </c>
      <c r="Q19" s="39">
        <f t="shared" si="3"/>
        <v>108</v>
      </c>
      <c r="R19" s="39">
        <f t="shared" si="3"/>
        <v>151</v>
      </c>
      <c r="S19" s="36">
        <f t="shared" si="5"/>
        <v>45</v>
      </c>
      <c r="T19" s="36">
        <f t="shared" si="4"/>
        <v>46</v>
      </c>
      <c r="U19" s="36">
        <f t="shared" si="4"/>
        <v>112</v>
      </c>
      <c r="V19" s="36">
        <f t="shared" si="4"/>
        <v>181</v>
      </c>
      <c r="W19" s="36">
        <f t="shared" si="4"/>
        <v>28</v>
      </c>
      <c r="X19" s="36">
        <f t="shared" si="4"/>
        <v>30</v>
      </c>
      <c r="Y19" s="39">
        <f t="shared" si="1"/>
        <v>185</v>
      </c>
      <c r="Z19" s="39">
        <f t="shared" si="1"/>
        <v>257</v>
      </c>
      <c r="AH19" s="2"/>
      <c r="AI19" s="11"/>
      <c r="AJ19" s="11"/>
      <c r="AK19" s="2"/>
      <c r="AL19" s="2"/>
      <c r="AM19" s="54">
        <f t="shared" si="0"/>
        <v>442</v>
      </c>
      <c r="AN19" s="54"/>
    </row>
    <row r="20" spans="1:40" ht="20.100000000000001" customHeight="1" x14ac:dyDescent="0.3">
      <c r="A20" s="47"/>
      <c r="B20" s="38">
        <v>44228</v>
      </c>
      <c r="C20" s="36">
        <v>20</v>
      </c>
      <c r="D20" s="36">
        <v>16</v>
      </c>
      <c r="E20" s="36">
        <v>37</v>
      </c>
      <c r="F20" s="36">
        <v>66</v>
      </c>
      <c r="G20" s="36">
        <v>11</v>
      </c>
      <c r="H20" s="36">
        <v>10</v>
      </c>
      <c r="I20" s="43">
        <f t="shared" si="2"/>
        <v>68</v>
      </c>
      <c r="J20" s="43">
        <f t="shared" si="2"/>
        <v>92</v>
      </c>
      <c r="K20" s="36">
        <v>28</v>
      </c>
      <c r="L20" s="36">
        <v>30</v>
      </c>
      <c r="M20" s="36">
        <v>55</v>
      </c>
      <c r="N20" s="36">
        <v>107</v>
      </c>
      <c r="O20" s="36">
        <v>14</v>
      </c>
      <c r="P20" s="36">
        <v>10</v>
      </c>
      <c r="Q20" s="39">
        <f t="shared" si="3"/>
        <v>97</v>
      </c>
      <c r="R20" s="39">
        <f t="shared" si="3"/>
        <v>147</v>
      </c>
      <c r="S20" s="36">
        <f t="shared" si="5"/>
        <v>48</v>
      </c>
      <c r="T20" s="36">
        <f t="shared" si="4"/>
        <v>46</v>
      </c>
      <c r="U20" s="36">
        <f t="shared" si="4"/>
        <v>92</v>
      </c>
      <c r="V20" s="36">
        <f t="shared" si="4"/>
        <v>173</v>
      </c>
      <c r="W20" s="36">
        <f t="shared" si="4"/>
        <v>25</v>
      </c>
      <c r="X20" s="36">
        <f t="shared" si="4"/>
        <v>20</v>
      </c>
      <c r="Y20" s="39">
        <f t="shared" si="1"/>
        <v>165</v>
      </c>
      <c r="Z20" s="39">
        <f t="shared" si="1"/>
        <v>239</v>
      </c>
      <c r="AH20" s="2"/>
      <c r="AI20" s="11"/>
      <c r="AJ20" s="11"/>
      <c r="AK20" s="2"/>
      <c r="AL20" s="2"/>
      <c r="AM20" s="54">
        <f t="shared" si="0"/>
        <v>404</v>
      </c>
      <c r="AN20" s="54"/>
    </row>
    <row r="21" spans="1:40" ht="20.100000000000001" customHeight="1" x14ac:dyDescent="0.3">
      <c r="A21" s="47"/>
      <c r="B21" s="38">
        <v>44256</v>
      </c>
      <c r="C21" s="36">
        <v>26</v>
      </c>
      <c r="D21" s="36">
        <v>23</v>
      </c>
      <c r="E21" s="36">
        <v>48</v>
      </c>
      <c r="F21" s="36">
        <v>58</v>
      </c>
      <c r="G21" s="36">
        <v>11</v>
      </c>
      <c r="H21" s="36">
        <v>16</v>
      </c>
      <c r="I21" s="43">
        <f t="shared" si="2"/>
        <v>85</v>
      </c>
      <c r="J21" s="43">
        <f t="shared" si="2"/>
        <v>97</v>
      </c>
      <c r="K21" s="36">
        <v>50</v>
      </c>
      <c r="L21" s="36">
        <v>31</v>
      </c>
      <c r="M21" s="36">
        <v>60</v>
      </c>
      <c r="N21" s="36">
        <v>113</v>
      </c>
      <c r="O21" s="36">
        <v>19</v>
      </c>
      <c r="P21" s="36">
        <v>20</v>
      </c>
      <c r="Q21" s="39">
        <f t="shared" si="3"/>
        <v>129</v>
      </c>
      <c r="R21" s="39">
        <f t="shared" si="3"/>
        <v>164</v>
      </c>
      <c r="S21" s="36">
        <f t="shared" si="5"/>
        <v>76</v>
      </c>
      <c r="T21" s="36">
        <f t="shared" si="4"/>
        <v>54</v>
      </c>
      <c r="U21" s="36">
        <f t="shared" si="4"/>
        <v>108</v>
      </c>
      <c r="V21" s="36">
        <f t="shared" si="4"/>
        <v>171</v>
      </c>
      <c r="W21" s="36">
        <f t="shared" si="4"/>
        <v>30</v>
      </c>
      <c r="X21" s="36">
        <f t="shared" si="4"/>
        <v>36</v>
      </c>
      <c r="Y21" s="39">
        <f t="shared" si="1"/>
        <v>214</v>
      </c>
      <c r="Z21" s="39">
        <f t="shared" si="1"/>
        <v>261</v>
      </c>
      <c r="AH21" s="2"/>
      <c r="AI21" s="11"/>
      <c r="AJ21" s="11"/>
      <c r="AK21" s="2"/>
      <c r="AL21" s="2"/>
      <c r="AM21" s="54">
        <f t="shared" si="0"/>
        <v>475</v>
      </c>
      <c r="AN21" s="54"/>
    </row>
    <row r="22" spans="1:40" s="48" customFormat="1" ht="24.75" customHeight="1" x14ac:dyDescent="0.3">
      <c r="B22" s="9" t="s">
        <v>10</v>
      </c>
      <c r="C22" s="43">
        <f t="shared" ref="C22:Z22" si="6">SUM(C10:C21)</f>
        <v>239</v>
      </c>
      <c r="D22" s="43">
        <f t="shared" si="6"/>
        <v>241</v>
      </c>
      <c r="E22" s="43">
        <f t="shared" si="6"/>
        <v>477</v>
      </c>
      <c r="F22" s="43">
        <f t="shared" si="6"/>
        <v>667</v>
      </c>
      <c r="G22" s="43">
        <f t="shared" si="6"/>
        <v>112</v>
      </c>
      <c r="H22" s="43">
        <f t="shared" si="6"/>
        <v>119</v>
      </c>
      <c r="I22" s="43">
        <f t="shared" si="6"/>
        <v>850</v>
      </c>
      <c r="J22" s="43">
        <f t="shared" si="6"/>
        <v>1094</v>
      </c>
      <c r="K22" s="43">
        <f t="shared" si="6"/>
        <v>358</v>
      </c>
      <c r="L22" s="43">
        <f t="shared" si="6"/>
        <v>347</v>
      </c>
      <c r="M22" s="43">
        <f t="shared" si="6"/>
        <v>678</v>
      </c>
      <c r="N22" s="43">
        <f t="shared" si="6"/>
        <v>997</v>
      </c>
      <c r="O22" s="43">
        <f t="shared" si="6"/>
        <v>180</v>
      </c>
      <c r="P22" s="43">
        <f t="shared" si="6"/>
        <v>184</v>
      </c>
      <c r="Q22" s="43">
        <f t="shared" si="6"/>
        <v>1191</v>
      </c>
      <c r="R22" s="43">
        <f t="shared" si="6"/>
        <v>1509</v>
      </c>
      <c r="S22" s="43">
        <f t="shared" si="6"/>
        <v>597</v>
      </c>
      <c r="T22" s="43">
        <f t="shared" si="6"/>
        <v>588</v>
      </c>
      <c r="U22" s="43">
        <f t="shared" si="6"/>
        <v>1155</v>
      </c>
      <c r="V22" s="43">
        <f t="shared" si="6"/>
        <v>1664</v>
      </c>
      <c r="W22" s="43">
        <f t="shared" si="6"/>
        <v>292</v>
      </c>
      <c r="X22" s="43">
        <f t="shared" si="6"/>
        <v>303</v>
      </c>
      <c r="Y22" s="43">
        <f t="shared" si="6"/>
        <v>2044</v>
      </c>
      <c r="Z22" s="43">
        <f t="shared" si="6"/>
        <v>2555</v>
      </c>
      <c r="AF22" s="40"/>
      <c r="AG22" s="14"/>
      <c r="AH22" s="14"/>
      <c r="AI22" s="14"/>
      <c r="AJ22" s="14"/>
      <c r="AK22" s="14"/>
      <c r="AL22" s="14"/>
      <c r="AM22" s="54">
        <f t="shared" si="0"/>
        <v>4599</v>
      </c>
      <c r="AN22" s="54"/>
    </row>
    <row r="23" spans="1:40" ht="31.2" customHeight="1" x14ac:dyDescent="0.3">
      <c r="B23" s="73" t="s">
        <v>23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5"/>
      <c r="N23" s="76">
        <f>Y22+Z22</f>
        <v>4599</v>
      </c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8"/>
      <c r="AF23" s="41"/>
      <c r="AG23" s="11"/>
      <c r="AH23" s="40"/>
      <c r="AI23" s="41"/>
      <c r="AJ23" s="41"/>
      <c r="AK23" s="49"/>
    </row>
    <row r="24" spans="1:40" x14ac:dyDescent="0.3">
      <c r="B24" s="50"/>
      <c r="AG24" s="11"/>
      <c r="AH24" s="2"/>
      <c r="AI24" s="11"/>
      <c r="AJ24" s="41"/>
    </row>
    <row r="25" spans="1:40" x14ac:dyDescent="0.3">
      <c r="B25" s="50"/>
      <c r="AG25" s="11"/>
      <c r="AH25" s="2"/>
      <c r="AI25" s="11"/>
      <c r="AJ25" s="41"/>
    </row>
    <row r="26" spans="1:40" x14ac:dyDescent="0.3">
      <c r="B26" s="50"/>
      <c r="AG26" s="11"/>
      <c r="AH26" s="2"/>
      <c r="AI26" s="11"/>
      <c r="AJ26" s="11"/>
    </row>
    <row r="29" spans="1:40" x14ac:dyDescent="0.3">
      <c r="AB29" s="11">
        <v>22</v>
      </c>
      <c r="AC29" s="2">
        <v>4</v>
      </c>
      <c r="AD29" s="11">
        <v>20</v>
      </c>
    </row>
  </sheetData>
  <mergeCells count="38">
    <mergeCell ref="B7:B8"/>
    <mergeCell ref="AM15:AN15"/>
    <mergeCell ref="AM16:AN16"/>
    <mergeCell ref="AM17:AN17"/>
    <mergeCell ref="AM18:AN18"/>
    <mergeCell ref="M8:N8"/>
    <mergeCell ref="C7:J7"/>
    <mergeCell ref="K7:R7"/>
    <mergeCell ref="S7:Z7"/>
    <mergeCell ref="C8:D8"/>
    <mergeCell ref="AM14:AN14"/>
    <mergeCell ref="AJ13:AK13"/>
    <mergeCell ref="AM9:AN9"/>
    <mergeCell ref="AM10:AN10"/>
    <mergeCell ref="AM11:AN11"/>
    <mergeCell ref="AM12:AN12"/>
    <mergeCell ref="AM21:AN21"/>
    <mergeCell ref="AM22:AN22"/>
    <mergeCell ref="B23:M23"/>
    <mergeCell ref="N23:Z23"/>
    <mergeCell ref="AM19:AN19"/>
    <mergeCell ref="AM20:AN20"/>
    <mergeCell ref="AM13:AN13"/>
    <mergeCell ref="B2:Z2"/>
    <mergeCell ref="B3:Z3"/>
    <mergeCell ref="B4:Z4"/>
    <mergeCell ref="B5:Z5"/>
    <mergeCell ref="B6:Z6"/>
    <mergeCell ref="E8:F8"/>
    <mergeCell ref="G8:H8"/>
    <mergeCell ref="I8:J8"/>
    <mergeCell ref="K8:L8"/>
    <mergeCell ref="O8:P8"/>
    <mergeCell ref="Q8:R8"/>
    <mergeCell ref="S8:T8"/>
    <mergeCell ref="U8:V8"/>
    <mergeCell ref="W8:X8"/>
    <mergeCell ref="Y8:Z8"/>
  </mergeCells>
  <printOptions horizontalCentered="1"/>
  <pageMargins left="0.70866141732283461" right="0.70866141732283461" top="0.74803149606299213" bottom="0.74803149606299213" header="0.31496062992125984" footer="0.31496062992125984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PATRAK-1. OPD-IPD Report</vt:lpstr>
      <vt:lpstr>PATRAK-1. OPD-IPD Report (2)</vt:lpstr>
      <vt:lpstr>'PATRAK-1. OPD-IPD Report'!Print_Area</vt:lpstr>
      <vt:lpstr>'PATRAK-1. OPD-IPD Report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Jignasa</dc:creator>
  <cp:lastModifiedBy>Avo Avo</cp:lastModifiedBy>
  <cp:lastPrinted>2021-03-30T17:37:20Z</cp:lastPrinted>
  <dcterms:created xsi:type="dcterms:W3CDTF">2019-09-18T12:32:38Z</dcterms:created>
  <dcterms:modified xsi:type="dcterms:W3CDTF">2021-12-31T21:46:42Z</dcterms:modified>
</cp:coreProperties>
</file>