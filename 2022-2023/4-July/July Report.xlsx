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2-2023\4-July\"/>
    </mc:Choice>
  </mc:AlternateContent>
  <xr:revisionPtr revIDLastSave="0" documentId="13_ncr:1_{D6F08FDE-9AAE-4879-992C-7DE5D78C6C0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8" l="1"/>
  <c r="AD10" i="1"/>
  <c r="AD39" i="1"/>
  <c r="AD9" i="1"/>
  <c r="L5" i="1"/>
  <c r="R20" i="1"/>
  <c r="S20" i="1"/>
  <c r="T20" i="1"/>
  <c r="U20" i="1"/>
  <c r="Y20" i="1" s="1"/>
  <c r="V20" i="1"/>
  <c r="W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S31" i="1"/>
  <c r="T31" i="1"/>
  <c r="U31" i="1"/>
  <c r="V31" i="1"/>
  <c r="W31" i="1"/>
  <c r="R32" i="1"/>
  <c r="S32" i="1"/>
  <c r="T32" i="1"/>
  <c r="U32" i="1"/>
  <c r="V32" i="1"/>
  <c r="W32" i="1"/>
  <c r="R33" i="1"/>
  <c r="S33" i="1"/>
  <c r="T33" i="1"/>
  <c r="U33" i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AD38" i="1" l="1"/>
  <c r="Y38" i="1"/>
  <c r="AD37" i="1"/>
  <c r="AD36" i="1"/>
  <c r="AD35" i="1"/>
  <c r="AD34" i="1"/>
  <c r="AD33" i="1"/>
  <c r="AD32" i="1"/>
  <c r="AD31" i="1"/>
  <c r="X31" i="1"/>
  <c r="Y31" i="1"/>
  <c r="AD30" i="1"/>
  <c r="AD29" i="1"/>
  <c r="AD28" i="1"/>
  <c r="AD27" i="1"/>
  <c r="AD26" i="1"/>
  <c r="AD25" i="1"/>
  <c r="AD24" i="1"/>
  <c r="X24" i="1"/>
  <c r="AD23" i="1"/>
  <c r="AD22" i="1"/>
  <c r="AD21" i="1"/>
  <c r="AD20" i="1"/>
  <c r="X20" i="1"/>
  <c r="X32" i="1"/>
  <c r="Y24" i="1"/>
  <c r="Y33" i="1"/>
  <c r="Y32" i="1"/>
  <c r="X28" i="1"/>
  <c r="Y28" i="1"/>
  <c r="Y21" i="1"/>
  <c r="X21" i="1"/>
  <c r="X39" i="1"/>
  <c r="Y39" i="1"/>
  <c r="X38" i="1"/>
  <c r="Y37" i="1"/>
  <c r="X37" i="1"/>
  <c r="Y36" i="1"/>
  <c r="X36" i="1"/>
  <c r="X35" i="1"/>
  <c r="Y35" i="1"/>
  <c r="Y34" i="1"/>
  <c r="X34" i="1"/>
  <c r="X33" i="1"/>
  <c r="Y30" i="1"/>
  <c r="X30" i="1"/>
  <c r="Y29" i="1"/>
  <c r="X29" i="1"/>
  <c r="Y27" i="1"/>
  <c r="X27" i="1"/>
  <c r="Y26" i="1"/>
  <c r="X26" i="1"/>
  <c r="X25" i="1"/>
  <c r="Y25" i="1"/>
  <c r="X23" i="1"/>
  <c r="Y23" i="1"/>
  <c r="X22" i="1"/>
  <c r="Y22" i="1"/>
  <c r="K57" i="8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AD11" i="1" s="1"/>
  <c r="Q11" i="1"/>
  <c r="P12" i="1"/>
  <c r="AD12" i="1" s="1"/>
  <c r="Q12" i="1"/>
  <c r="P13" i="1"/>
  <c r="AD13" i="1" s="1"/>
  <c r="Q13" i="1"/>
  <c r="P14" i="1"/>
  <c r="AD14" i="1" s="1"/>
  <c r="Q14" i="1"/>
  <c r="P15" i="1"/>
  <c r="Q15" i="1"/>
  <c r="P16" i="1"/>
  <c r="Q16" i="1"/>
  <c r="P17" i="1"/>
  <c r="Q17" i="1"/>
  <c r="P18" i="1"/>
  <c r="AD18" i="1" s="1"/>
  <c r="Q18" i="1"/>
  <c r="P19" i="1"/>
  <c r="Q19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I9" i="1"/>
  <c r="H9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D19" i="1" l="1"/>
  <c r="AD17" i="1"/>
  <c r="AD16" i="1"/>
  <c r="AD15" i="1"/>
  <c r="AH47" i="8"/>
  <c r="AC37" i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X19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13" i="1"/>
  <c r="X14" i="1"/>
  <c r="X18" i="1"/>
  <c r="X15" i="1"/>
  <c r="AE42" i="1"/>
  <c r="AD46" i="1"/>
  <c r="AD45" i="1"/>
  <c r="AE45" i="1"/>
  <c r="Y13" i="1"/>
  <c r="Y17" i="1"/>
  <c r="Y18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AA20" i="1"/>
  <c r="AA40" i="1" l="1"/>
</calcChain>
</file>

<file path=xl/sharedStrings.xml><?xml version="1.0" encoding="utf-8"?>
<sst xmlns="http://schemas.openxmlformats.org/spreadsheetml/2006/main" count="178" uniqueCount="124">
  <si>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</si>
  <si>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</si>
  <si>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</si>
  <si>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</si>
  <si>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</si>
  <si>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</si>
  <si>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</si>
  <si>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</si>
  <si>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</si>
  <si>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</si>
  <si>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</si>
  <si>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</si>
  <si>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</si>
  <si>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</si>
  <si>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</si>
  <si>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</si>
  <si>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</si>
  <si>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</si>
  <si>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</si>
  <si>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</si>
  <si>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</si>
  <si>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</si>
  <si>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</si>
  <si>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</si>
  <si>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</si>
  <si>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</si>
  <si>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</si>
  <si>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</si>
  <si>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</si>
  <si>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</si>
  <si>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</si>
  <si>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</si>
  <si>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</si>
  <si>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</si>
  <si>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</si>
  <si>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</si>
  <si>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</si>
  <si>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</si>
  <si>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</si>
  <si>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</si>
  <si>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</si>
  <si>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</si>
  <si>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</si>
  <si>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</si>
  <si>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</si>
  <si>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</si>
  <si>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</si>
  <si>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</si>
  <si>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</si>
  <si>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</si>
  <si>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</si>
  <si>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</si>
  <si>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</si>
  <si>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</si>
  <si>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</si>
  <si>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</si>
  <si>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</si>
  <si>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</si>
  <si>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</si>
  <si>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</si>
  <si>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</si>
  <si>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</si>
  <si>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</si>
  <si>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</si>
  <si>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</si>
  <si>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</si>
  <si>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</si>
  <si>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</si>
  <si>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</si>
  <si>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</si>
  <si>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</si>
  <si>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</si>
  <si>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</si>
  <si>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</si>
  <si>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</si>
  <si>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</si>
  <si>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</si>
  <si>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</si>
  <si>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</si>
  <si>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</si>
  <si>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</si>
  <si>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</si>
  <si>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</si>
  <si>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</si>
  <si>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</si>
  <si>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</si>
  <si>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</si>
  <si>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</si>
  <si>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</si>
  <si>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</si>
  <si>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</si>
  <si>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</si>
  <si>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</si>
  <si>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</si>
  <si>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</si>
  <si>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</si>
  <si>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</si>
  <si>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</si>
  <si>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</si>
  <si>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</si>
  <si>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</si>
  <si>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</si>
  <si>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</si>
  <si>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</si>
  <si>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</si>
  <si>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</si>
  <si>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</si>
  <si>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</si>
  <si>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</si>
  <si>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</si>
  <si>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</si>
  <si>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</si>
  <si>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</si>
  <si>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</si>
  <si>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</si>
  <si>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</si>
  <si>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</si>
  <si>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</si>
  <si>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</si>
  <si>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</si>
  <si>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Year-2022</t>
  </si>
  <si>
    <t xml:space="preserve">Month:- </t>
  </si>
  <si>
    <t>Old Case</t>
  </si>
  <si>
    <t>Gov. Homeopathy Dispensory Ayurved Hospital(Majivana)     Ta.Porbandar    Di.Porbandar     Month: June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</si>
</sst>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/>
    <xf numFmtId="0" fontId="0" fillId="0" borderId="1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0" fillId="0" borderId="0" xfId="0" applyFont="1" applyAlignment="1"/>
    <xf numFmtId="0" fontId="16" fillId="0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3" fillId="0" borderId="11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" wrapText="1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wrapText="1"/>
    </xf>
    <xf numFmtId="0" fontId="0" fillId="0" borderId="0" xfId="0" applyBorder="1" applyAlignment="1"/>
    <xf numFmtId="0" fontId="0" fillId="0" borderId="15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/>
    </xf>
    <xf numFmtId="0" fontId="15" fillId="3" borderId="10" xfId="0" applyFont="1" applyFill="1" applyBorder="1" applyAlignment="1"/>
    <xf numFmtId="0" fontId="15" fillId="4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/>
    <xf numFmtId="0" fontId="15" fillId="4" borderId="10" xfId="0" applyFont="1" applyFill="1" applyBorder="1" applyAlignment="1">
      <alignment horizontal="center" wrapText="1"/>
    </xf>
    <xf numFmtId="0" fontId="19" fillId="4" borderId="10" xfId="0" applyFont="1" applyFill="1" applyBorder="1"/>
    <xf numFmtId="0" fontId="15" fillId="4" borderId="10" xfId="0" applyFont="1" applyFill="1" applyBorder="1" applyAlignment="1">
      <alignment horizontal="right" vertical="center"/>
    </xf>
    <xf numFmtId="0" fontId="0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/>
    <xf numFmtId="0" fontId="15" fillId="0" borderId="10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3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4" fillId="4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opLeftCell="AB27" zoomScale="85" zoomScaleNormal="85" zoomScaleSheetLayoutView="85" zoomScalePageLayoutView="85" workbookViewId="0">
      <selection activeCell="AB38" sqref="AB38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30" ht="14.25" customHeight="1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30" ht="14.25" customHeight="1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30" ht="14.25" customHeight="1">
      <c r="A3" s="87" t="s">
        <v>116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spans="1:30" ht="19.5" customHeight="1">
      <c r="A4" s="89" t="s">
        <v>111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30" ht="19.5" customHeight="1">
      <c r="A5" s="91" t="s">
        <v>121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107" t="str">
        <f ca="1">TEXT(TODAY(),"MMMM")</f>
        <v>July</v>
      </c>
      <c r="M5" s="109"/>
      <c r="N5" s="107" t="s">
        <v>120</v>
      </c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30" ht="19.5" customHeight="1">
      <c r="A6" s="92"/>
      <c r="B6" s="87" t="s">
        <v>2</v>
      </c>
      <c r="C6" s="90"/>
      <c r="D6" s="90"/>
      <c r="E6" s="90"/>
      <c r="F6" s="90"/>
      <c r="G6" s="90"/>
      <c r="H6" s="90"/>
      <c r="I6" s="90"/>
      <c r="J6" s="87" t="s">
        <v>3</v>
      </c>
      <c r="K6" s="90"/>
      <c r="L6" s="90"/>
      <c r="M6" s="90"/>
      <c r="N6" s="90"/>
      <c r="O6" s="90"/>
      <c r="P6" s="90"/>
      <c r="Q6" s="90"/>
      <c r="R6" s="87" t="s">
        <v>4</v>
      </c>
      <c r="S6" s="90"/>
      <c r="T6" s="90"/>
      <c r="U6" s="90"/>
      <c r="V6" s="90"/>
      <c r="W6" s="90"/>
      <c r="X6" s="90"/>
      <c r="Y6" s="90"/>
      <c r="Z6" s="1"/>
    </row>
    <row r="7" spans="1:30" ht="37.5" customHeight="1">
      <c r="A7" s="93" t="s">
        <v>5</v>
      </c>
      <c r="B7" s="94" t="s">
        <v>6</v>
      </c>
      <c r="C7" s="95"/>
      <c r="D7" s="94" t="s">
        <v>7</v>
      </c>
      <c r="E7" s="95"/>
      <c r="F7" s="94" t="s">
        <v>8</v>
      </c>
      <c r="G7" s="95"/>
      <c r="H7" s="96" t="s">
        <v>9</v>
      </c>
      <c r="I7" s="97"/>
      <c r="J7" s="94" t="s">
        <v>6</v>
      </c>
      <c r="K7" s="95"/>
      <c r="L7" s="94" t="s">
        <v>7</v>
      </c>
      <c r="M7" s="95"/>
      <c r="N7" s="94" t="s">
        <v>8</v>
      </c>
      <c r="O7" s="95"/>
      <c r="P7" s="96" t="s">
        <v>9</v>
      </c>
      <c r="Q7" s="97"/>
      <c r="R7" s="98" t="s">
        <v>6</v>
      </c>
      <c r="S7" s="99"/>
      <c r="T7" s="98" t="s">
        <v>7</v>
      </c>
      <c r="U7" s="99"/>
      <c r="V7" s="98" t="s">
        <v>8</v>
      </c>
      <c r="W7" s="99"/>
      <c r="X7" s="96" t="s">
        <v>9</v>
      </c>
      <c r="Y7" s="97"/>
      <c r="Z7" s="1"/>
      <c r="AA7" t="s">
        <v>119</v>
      </c>
      <c r="AC7" t="s">
        <v>118</v>
      </c>
      <c r="AD7" t="s">
        <v>122</v>
      </c>
    </row>
    <row r="8" spans="1:30" ht="19.5" customHeight="1">
      <c r="A8" s="92"/>
      <c r="B8" s="100" t="s">
        <v>10</v>
      </c>
      <c r="C8" s="100" t="s">
        <v>11</v>
      </c>
      <c r="D8" s="100" t="s">
        <v>10</v>
      </c>
      <c r="E8" s="100" t="s">
        <v>11</v>
      </c>
      <c r="F8" s="100" t="s">
        <v>10</v>
      </c>
      <c r="G8" s="100" t="s">
        <v>11</v>
      </c>
      <c r="H8" s="101" t="s">
        <v>10</v>
      </c>
      <c r="I8" s="101" t="s">
        <v>11</v>
      </c>
      <c r="J8" s="100" t="s">
        <v>10</v>
      </c>
      <c r="K8" s="100" t="s">
        <v>11</v>
      </c>
      <c r="L8" s="100" t="s">
        <v>10</v>
      </c>
      <c r="M8" s="100" t="s">
        <v>11</v>
      </c>
      <c r="N8" s="100" t="s">
        <v>10</v>
      </c>
      <c r="O8" s="100" t="s">
        <v>11</v>
      </c>
      <c r="P8" s="101" t="s">
        <v>10</v>
      </c>
      <c r="Q8" s="101" t="s">
        <v>11</v>
      </c>
      <c r="R8" s="102" t="s">
        <v>10</v>
      </c>
      <c r="S8" s="102" t="s">
        <v>11</v>
      </c>
      <c r="T8" s="102" t="s">
        <v>10</v>
      </c>
      <c r="U8" s="102" t="s">
        <v>11</v>
      </c>
      <c r="V8" s="102" t="s">
        <v>10</v>
      </c>
      <c r="W8" s="102" t="s">
        <v>11</v>
      </c>
      <c r="X8" s="102" t="s">
        <v>10</v>
      </c>
      <c r="Y8" s="102" t="s">
        <v>11</v>
      </c>
      <c r="Z8" s="1"/>
    </row>
    <row r="9" spans="1:30" ht="19.5" customHeight="1">
      <c r="A9" s="100">
        <v>1</v>
      </c>
      <c r="B9" s="92">
        <v>1</v>
      </c>
      <c r="C9" s="92">
        <v>1</v>
      </c>
      <c r="D9" s="92">
        <v>2</v>
      </c>
      <c r="E9" s="92">
        <v>2</v>
      </c>
      <c r="F9" s="92">
        <v>1</v>
      </c>
      <c r="G9" s="92">
        <v>0</v>
      </c>
      <c r="H9" s="103">
        <f>SUM(B9+D9+F9)</f>
        <v>4</v>
      </c>
      <c r="I9" s="103">
        <f>SUM(C9+E9+G9)</f>
        <v>3</v>
      </c>
      <c r="J9" s="92">
        <v>2</v>
      </c>
      <c r="K9" s="92">
        <v>0</v>
      </c>
      <c r="L9" s="92">
        <v>5</v>
      </c>
      <c r="M9" s="92">
        <v>3</v>
      </c>
      <c r="N9" s="92">
        <v>1</v>
      </c>
      <c r="O9" s="92">
        <v>1</v>
      </c>
      <c r="P9" s="103">
        <f>SUM(J9+L9+N9)</f>
        <v>8</v>
      </c>
      <c r="Q9" s="103">
        <f>SUM(K9+M9+O9)</f>
        <v>4</v>
      </c>
      <c r="R9" s="104">
        <f t="shared" ref="R9:W9" si="0">SUM(B9+J9)</f>
        <v>3</v>
      </c>
      <c r="S9" s="104">
        <f t="shared" si="0"/>
        <v>1</v>
      </c>
      <c r="T9" s="104">
        <f t="shared" si="0"/>
        <v>7</v>
      </c>
      <c r="U9" s="104">
        <f t="shared" si="0"/>
        <v>5</v>
      </c>
      <c r="V9" s="104">
        <f t="shared" si="0"/>
        <v>2</v>
      </c>
      <c r="W9" s="104">
        <f t="shared" si="0"/>
        <v>1</v>
      </c>
      <c r="X9" s="103">
        <f>SUM(R9+T9+V9)</f>
        <v>12</v>
      </c>
      <c r="Y9" s="103">
        <f>SUM(S9+U9+W9)</f>
        <v>7</v>
      </c>
      <c r="AA9">
        <f>SUM(X9+Y9)</f>
        <v>19</v>
      </c>
      <c r="AC9">
        <f>SUM(H9+I9)</f>
        <v>7</v>
      </c>
      <c r="AD9">
        <f>SUM(P9+Q9)</f>
        <v>12</v>
      </c>
    </row>
    <row r="10" spans="1:30" ht="19.5" customHeight="1">
      <c r="A10" s="100">
        <v>2</v>
      </c>
      <c r="B10" s="92">
        <v>0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103">
        <f t="shared" ref="H10:H19" si="1">SUM(B10+D10+F10)</f>
        <v>0</v>
      </c>
      <c r="I10" s="103">
        <f t="shared" ref="I10:I19" si="2">SUM(C10+E10+G10)</f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103">
        <f t="shared" ref="P10:P19" si="3">SUM(J10+L10+N10)</f>
        <v>0</v>
      </c>
      <c r="Q10" s="103">
        <f t="shared" ref="Q10:Q19" si="4">SUM(K10+M10+O10)</f>
        <v>0</v>
      </c>
      <c r="R10" s="104">
        <f t="shared" ref="R10:W10" si="5">SUM(B10+J10)</f>
        <v>0</v>
      </c>
      <c r="S10" s="104">
        <f t="shared" si="5"/>
        <v>0</v>
      </c>
      <c r="T10" s="104">
        <f t="shared" si="5"/>
        <v>0</v>
      </c>
      <c r="U10" s="104">
        <f t="shared" si="5"/>
        <v>0</v>
      </c>
      <c r="V10" s="104">
        <f t="shared" si="5"/>
        <v>0</v>
      </c>
      <c r="W10" s="104">
        <f t="shared" si="5"/>
        <v>0</v>
      </c>
      <c r="X10" s="103">
        <f>SUM(R10+T10+V10)</f>
        <v>0</v>
      </c>
      <c r="Y10" s="103">
        <f t="shared" ref="Y10" si="6">SUM(S10+U10+W10)</f>
        <v>0</v>
      </c>
      <c r="AA10" s="42">
        <f t="shared" ref="AA10:AA39" si="7">SUM(X10+Y10)</f>
        <v>0</v>
      </c>
      <c r="AC10" s="43">
        <f t="shared" ref="AC10:AC39" si="8">SUM(H10+I10)</f>
        <v>0</v>
      </c>
      <c r="AD10" s="52">
        <f t="shared" ref="AD10:AD39" si="9">SUM(P10+Q10)</f>
        <v>0</v>
      </c>
    </row>
    <row r="11" spans="1:30" ht="19.5" customHeight="1">
      <c r="A11" s="100">
        <v>3</v>
      </c>
      <c r="B11" s="92">
        <v>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103">
        <f t="shared" si="1"/>
        <v>0</v>
      </c>
      <c r="I11" s="103">
        <f t="shared" si="2"/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103">
        <f t="shared" si="3"/>
        <v>0</v>
      </c>
      <c r="Q11" s="103">
        <f t="shared" si="4"/>
        <v>0</v>
      </c>
      <c r="R11" s="104">
        <f t="shared" ref="R11:W11" si="10">SUM(B11+J11)</f>
        <v>0</v>
      </c>
      <c r="S11" s="104">
        <f t="shared" si="10"/>
        <v>0</v>
      </c>
      <c r="T11" s="104">
        <f t="shared" si="10"/>
        <v>0</v>
      </c>
      <c r="U11" s="104">
        <f t="shared" si="10"/>
        <v>0</v>
      </c>
      <c r="V11" s="104">
        <f t="shared" si="10"/>
        <v>0</v>
      </c>
      <c r="W11" s="104">
        <f t="shared" si="10"/>
        <v>0</v>
      </c>
      <c r="X11" s="103">
        <f t="shared" ref="X11:Y11" si="11">SUM(R11+T11+V11)</f>
        <v>0</v>
      </c>
      <c r="Y11" s="103">
        <f t="shared" si="11"/>
        <v>0</v>
      </c>
      <c r="AA11" s="42">
        <f t="shared" si="7"/>
        <v>0</v>
      </c>
      <c r="AC11" s="43">
        <f t="shared" si="8"/>
        <v>0</v>
      </c>
      <c r="AD11" s="52">
        <f t="shared" si="9"/>
        <v>0</v>
      </c>
    </row>
    <row r="12" spans="1:30" ht="19.5" customHeight="1">
      <c r="A12" s="100">
        <v>4</v>
      </c>
      <c r="B12" s="92">
        <v>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103">
        <f t="shared" si="1"/>
        <v>0</v>
      </c>
      <c r="I12" s="103">
        <f t="shared" si="2"/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103">
        <f t="shared" si="3"/>
        <v>0</v>
      </c>
      <c r="Q12" s="103">
        <f t="shared" si="4"/>
        <v>0</v>
      </c>
      <c r="R12" s="104">
        <f t="shared" ref="R12:W12" si="12">SUM(B12+J12)</f>
        <v>0</v>
      </c>
      <c r="S12" s="104">
        <f t="shared" si="12"/>
        <v>0</v>
      </c>
      <c r="T12" s="104">
        <f t="shared" si="12"/>
        <v>0</v>
      </c>
      <c r="U12" s="104">
        <f t="shared" si="12"/>
        <v>0</v>
      </c>
      <c r="V12" s="104">
        <f t="shared" si="12"/>
        <v>0</v>
      </c>
      <c r="W12" s="104">
        <f t="shared" si="12"/>
        <v>0</v>
      </c>
      <c r="X12" s="103">
        <f>SUM(R12+T12+V12)</f>
        <v>0</v>
      </c>
      <c r="Y12" s="103">
        <f>SUM(S12+U12+W12)</f>
        <v>0</v>
      </c>
      <c r="AA12" s="42">
        <f t="shared" si="7"/>
        <v>0</v>
      </c>
      <c r="AC12" s="43">
        <f t="shared" si="8"/>
        <v>0</v>
      </c>
      <c r="AD12" s="52">
        <f t="shared" si="9"/>
        <v>0</v>
      </c>
    </row>
    <row r="13" spans="1:30" ht="19.5" customHeight="1">
      <c r="A13" s="100">
        <v>5</v>
      </c>
      <c r="B13" s="92">
        <v>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103">
        <f t="shared" si="1"/>
        <v>0</v>
      </c>
      <c r="I13" s="103">
        <f t="shared" si="2"/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103">
        <f t="shared" si="3"/>
        <v>0</v>
      </c>
      <c r="Q13" s="103">
        <f t="shared" si="4"/>
        <v>0</v>
      </c>
      <c r="R13" s="104">
        <f t="shared" ref="R13:W13" si="13">SUM(B13+J13)</f>
        <v>0</v>
      </c>
      <c r="S13" s="104">
        <f t="shared" si="13"/>
        <v>0</v>
      </c>
      <c r="T13" s="104">
        <f t="shared" si="13"/>
        <v>0</v>
      </c>
      <c r="U13" s="104">
        <f t="shared" si="13"/>
        <v>0</v>
      </c>
      <c r="V13" s="104">
        <f t="shared" si="13"/>
        <v>0</v>
      </c>
      <c r="W13" s="104">
        <f t="shared" si="13"/>
        <v>0</v>
      </c>
      <c r="X13" s="103">
        <f t="shared" ref="X13:X19" si="14">SUM(R13+T13+V13)</f>
        <v>0</v>
      </c>
      <c r="Y13" s="103">
        <f t="shared" ref="Y13:Y19" si="15">SUM(S13+U13+W13)</f>
        <v>0</v>
      </c>
      <c r="AA13" s="42">
        <f t="shared" si="7"/>
        <v>0</v>
      </c>
      <c r="AC13" s="43">
        <f t="shared" si="8"/>
        <v>0</v>
      </c>
      <c r="AD13" s="52">
        <f t="shared" si="9"/>
        <v>0</v>
      </c>
    </row>
    <row r="14" spans="1:30" ht="19.5" customHeight="1">
      <c r="A14" s="100">
        <v>6</v>
      </c>
      <c r="B14" s="92">
        <v>2</v>
      </c>
      <c r="C14" s="92">
        <v>2</v>
      </c>
      <c r="D14" s="92">
        <v>0</v>
      </c>
      <c r="E14" s="92">
        <v>2</v>
      </c>
      <c r="F14" s="92">
        <v>1</v>
      </c>
      <c r="G14" s="92">
        <v>1</v>
      </c>
      <c r="H14" s="103">
        <f t="shared" si="1"/>
        <v>3</v>
      </c>
      <c r="I14" s="103">
        <f t="shared" si="2"/>
        <v>5</v>
      </c>
      <c r="J14" s="92">
        <v>1</v>
      </c>
      <c r="K14" s="92">
        <v>1</v>
      </c>
      <c r="L14" s="92">
        <v>4</v>
      </c>
      <c r="M14" s="92">
        <v>5</v>
      </c>
      <c r="N14" s="92">
        <v>2</v>
      </c>
      <c r="O14" s="92">
        <v>0</v>
      </c>
      <c r="P14" s="103">
        <f t="shared" si="3"/>
        <v>7</v>
      </c>
      <c r="Q14" s="103">
        <f t="shared" si="4"/>
        <v>6</v>
      </c>
      <c r="R14" s="104">
        <f t="shared" ref="R14:W14" si="16">SUM(B14+J14)</f>
        <v>3</v>
      </c>
      <c r="S14" s="104">
        <f t="shared" si="16"/>
        <v>3</v>
      </c>
      <c r="T14" s="104">
        <f t="shared" si="16"/>
        <v>4</v>
      </c>
      <c r="U14" s="104">
        <f t="shared" si="16"/>
        <v>7</v>
      </c>
      <c r="V14" s="104">
        <f t="shared" si="16"/>
        <v>3</v>
      </c>
      <c r="W14" s="104">
        <f t="shared" si="16"/>
        <v>1</v>
      </c>
      <c r="X14" s="103">
        <f t="shared" si="14"/>
        <v>10</v>
      </c>
      <c r="Y14" s="103">
        <f t="shared" si="15"/>
        <v>11</v>
      </c>
      <c r="Z14" s="83"/>
      <c r="AA14" s="42">
        <f t="shared" si="7"/>
        <v>21</v>
      </c>
      <c r="AC14" s="43">
        <f t="shared" si="8"/>
        <v>8</v>
      </c>
      <c r="AD14" s="52">
        <f t="shared" si="9"/>
        <v>13</v>
      </c>
    </row>
    <row r="15" spans="1:30" ht="19.5" customHeight="1">
      <c r="A15" s="100">
        <v>7</v>
      </c>
      <c r="B15" s="92">
        <v>0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103">
        <f t="shared" si="1"/>
        <v>0</v>
      </c>
      <c r="I15" s="103">
        <f t="shared" si="2"/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103">
        <f t="shared" si="3"/>
        <v>0</v>
      </c>
      <c r="Q15" s="103">
        <f t="shared" si="4"/>
        <v>0</v>
      </c>
      <c r="R15" s="104">
        <f t="shared" ref="R15:W15" si="17">SUM(B15+J15)</f>
        <v>0</v>
      </c>
      <c r="S15" s="104">
        <f t="shared" si="17"/>
        <v>0</v>
      </c>
      <c r="T15" s="104">
        <f t="shared" si="17"/>
        <v>0</v>
      </c>
      <c r="U15" s="104">
        <f t="shared" si="17"/>
        <v>0</v>
      </c>
      <c r="V15" s="104">
        <f t="shared" si="17"/>
        <v>0</v>
      </c>
      <c r="W15" s="104">
        <f t="shared" si="17"/>
        <v>0</v>
      </c>
      <c r="X15" s="103">
        <f t="shared" si="14"/>
        <v>0</v>
      </c>
      <c r="Y15" s="103">
        <f t="shared" si="15"/>
        <v>0</v>
      </c>
      <c r="AA15" s="42">
        <f t="shared" si="7"/>
        <v>0</v>
      </c>
      <c r="AC15" s="43">
        <f t="shared" si="8"/>
        <v>0</v>
      </c>
      <c r="AD15" s="52">
        <f t="shared" si="9"/>
        <v>0</v>
      </c>
    </row>
    <row r="16" spans="1:30" ht="19.5" customHeight="1">
      <c r="A16" s="100">
        <v>8</v>
      </c>
      <c r="B16" s="92">
        <v>1</v>
      </c>
      <c r="C16" s="92">
        <v>0</v>
      </c>
      <c r="D16" s="92">
        <v>2</v>
      </c>
      <c r="E16" s="92">
        <v>2</v>
      </c>
      <c r="F16" s="92">
        <v>0</v>
      </c>
      <c r="G16" s="92">
        <v>0</v>
      </c>
      <c r="H16" s="103">
        <f t="shared" si="1"/>
        <v>3</v>
      </c>
      <c r="I16" s="103">
        <f t="shared" si="2"/>
        <v>2</v>
      </c>
      <c r="J16" s="92">
        <v>2</v>
      </c>
      <c r="K16" s="92">
        <v>2</v>
      </c>
      <c r="L16" s="92">
        <v>4</v>
      </c>
      <c r="M16" s="92">
        <v>2</v>
      </c>
      <c r="N16" s="92">
        <v>0</v>
      </c>
      <c r="O16" s="92">
        <v>1</v>
      </c>
      <c r="P16" s="103">
        <f t="shared" si="3"/>
        <v>6</v>
      </c>
      <c r="Q16" s="103">
        <f t="shared" si="4"/>
        <v>5</v>
      </c>
      <c r="R16" s="104">
        <f t="shared" ref="R16:W16" si="18">SUM(B16+J16)</f>
        <v>3</v>
      </c>
      <c r="S16" s="104">
        <f t="shared" si="18"/>
        <v>2</v>
      </c>
      <c r="T16" s="104">
        <f t="shared" si="18"/>
        <v>6</v>
      </c>
      <c r="U16" s="104">
        <f t="shared" si="18"/>
        <v>4</v>
      </c>
      <c r="V16" s="104">
        <f t="shared" si="18"/>
        <v>0</v>
      </c>
      <c r="W16" s="104">
        <f t="shared" si="18"/>
        <v>1</v>
      </c>
      <c r="X16" s="103">
        <f t="shared" si="14"/>
        <v>9</v>
      </c>
      <c r="Y16" s="103">
        <f t="shared" si="15"/>
        <v>7</v>
      </c>
      <c r="AA16" s="42">
        <f t="shared" si="7"/>
        <v>16</v>
      </c>
      <c r="AC16" s="43">
        <f t="shared" si="8"/>
        <v>5</v>
      </c>
      <c r="AD16" s="52">
        <f t="shared" si="9"/>
        <v>11</v>
      </c>
    </row>
    <row r="17" spans="1:30" ht="19.5" customHeight="1">
      <c r="A17" s="100">
        <v>9</v>
      </c>
      <c r="B17" s="92">
        <v>0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103">
        <f t="shared" si="1"/>
        <v>0</v>
      </c>
      <c r="I17" s="103">
        <f t="shared" si="2"/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103">
        <f t="shared" si="3"/>
        <v>0</v>
      </c>
      <c r="Q17" s="103">
        <f t="shared" si="4"/>
        <v>0</v>
      </c>
      <c r="R17" s="104">
        <f t="shared" ref="R17:W17" si="19">SUM(B17+J17)</f>
        <v>0</v>
      </c>
      <c r="S17" s="104">
        <f t="shared" si="19"/>
        <v>0</v>
      </c>
      <c r="T17" s="104">
        <f t="shared" si="19"/>
        <v>0</v>
      </c>
      <c r="U17" s="104">
        <f t="shared" si="19"/>
        <v>0</v>
      </c>
      <c r="V17" s="104">
        <f t="shared" si="19"/>
        <v>0</v>
      </c>
      <c r="W17" s="104">
        <f t="shared" si="19"/>
        <v>0</v>
      </c>
      <c r="X17" s="103">
        <f t="shared" si="14"/>
        <v>0</v>
      </c>
      <c r="Y17" s="103">
        <f t="shared" si="15"/>
        <v>0</v>
      </c>
      <c r="AA17" s="42">
        <f t="shared" si="7"/>
        <v>0</v>
      </c>
      <c r="AC17" s="43">
        <f t="shared" si="8"/>
        <v>0</v>
      </c>
      <c r="AD17" s="52">
        <f t="shared" si="9"/>
        <v>0</v>
      </c>
    </row>
    <row r="18" spans="1:30" ht="19.5" customHeight="1">
      <c r="A18" s="100">
        <v>10</v>
      </c>
      <c r="B18" s="92">
        <v>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103">
        <f t="shared" si="1"/>
        <v>0</v>
      </c>
      <c r="I18" s="103">
        <f t="shared" si="2"/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103">
        <f t="shared" si="3"/>
        <v>0</v>
      </c>
      <c r="Q18" s="103">
        <f t="shared" si="4"/>
        <v>0</v>
      </c>
      <c r="R18" s="104">
        <f t="shared" ref="R18:W18" si="20">SUM(B18+J18)</f>
        <v>0</v>
      </c>
      <c r="S18" s="104">
        <f t="shared" si="20"/>
        <v>0</v>
      </c>
      <c r="T18" s="104">
        <f t="shared" si="20"/>
        <v>0</v>
      </c>
      <c r="U18" s="104">
        <f t="shared" si="20"/>
        <v>0</v>
      </c>
      <c r="V18" s="104">
        <f t="shared" si="20"/>
        <v>0</v>
      </c>
      <c r="W18" s="104">
        <f t="shared" si="20"/>
        <v>0</v>
      </c>
      <c r="X18" s="103">
        <f t="shared" si="14"/>
        <v>0</v>
      </c>
      <c r="Y18" s="103">
        <f t="shared" si="15"/>
        <v>0</v>
      </c>
      <c r="AA18" s="42">
        <f t="shared" si="7"/>
        <v>0</v>
      </c>
      <c r="AC18" s="43">
        <f t="shared" si="8"/>
        <v>0</v>
      </c>
      <c r="AD18" s="52">
        <f t="shared" si="9"/>
        <v>0</v>
      </c>
    </row>
    <row r="19" spans="1:30" ht="19.5" customHeight="1">
      <c r="A19" s="100">
        <v>11</v>
      </c>
      <c r="B19" s="92">
        <v>0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103">
        <f t="shared" si="1"/>
        <v>0</v>
      </c>
      <c r="I19" s="103">
        <f t="shared" si="2"/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103">
        <f t="shared" si="3"/>
        <v>0</v>
      </c>
      <c r="Q19" s="103">
        <f t="shared" si="4"/>
        <v>0</v>
      </c>
      <c r="R19" s="104">
        <f t="shared" ref="R19" si="21">SUM(B19+J19)</f>
        <v>0</v>
      </c>
      <c r="S19" s="104">
        <f t="shared" ref="S19" si="22">SUM(C19+K19)</f>
        <v>0</v>
      </c>
      <c r="T19" s="104">
        <f t="shared" ref="T19" si="23">SUM(D19+L19)</f>
        <v>0</v>
      </c>
      <c r="U19" s="104">
        <f t="shared" ref="U19" si="24">SUM(E19+M19)</f>
        <v>0</v>
      </c>
      <c r="V19" s="104">
        <f t="shared" ref="V19" si="25">SUM(F19+N19)</f>
        <v>0</v>
      </c>
      <c r="W19" s="104">
        <f t="shared" ref="W19" si="26">SUM(G19+O19)</f>
        <v>0</v>
      </c>
      <c r="X19" s="103">
        <f t="shared" si="14"/>
        <v>0</v>
      </c>
      <c r="Y19" s="103">
        <f t="shared" si="15"/>
        <v>0</v>
      </c>
      <c r="AA19" s="42">
        <f t="shared" si="7"/>
        <v>0</v>
      </c>
      <c r="AC19" s="43">
        <f t="shared" si="8"/>
        <v>0</v>
      </c>
      <c r="AD19" s="52">
        <f t="shared" si="9"/>
        <v>0</v>
      </c>
    </row>
    <row r="20" spans="1:30" ht="19.5" customHeight="1">
      <c r="A20" s="100">
        <v>12</v>
      </c>
      <c r="B20" s="92">
        <v>1</v>
      </c>
      <c r="C20" s="92">
        <v>0</v>
      </c>
      <c r="D20" s="92">
        <v>1</v>
      </c>
      <c r="E20" s="92">
        <v>2</v>
      </c>
      <c r="F20" s="92">
        <v>1</v>
      </c>
      <c r="G20" s="92">
        <v>1</v>
      </c>
      <c r="H20" s="103">
        <f t="shared" ref="H20:H39" si="27">SUM(B20+D20+F20)</f>
        <v>3</v>
      </c>
      <c r="I20" s="103">
        <f t="shared" ref="I20:I39" si="28">SUM(C20+E20+G20)</f>
        <v>3</v>
      </c>
      <c r="J20" s="92">
        <v>0</v>
      </c>
      <c r="K20" s="92">
        <v>4</v>
      </c>
      <c r="L20" s="92">
        <v>1</v>
      </c>
      <c r="M20" s="92">
        <v>4</v>
      </c>
      <c r="N20" s="92">
        <v>1</v>
      </c>
      <c r="O20" s="92">
        <v>1</v>
      </c>
      <c r="P20" s="103">
        <f t="shared" ref="P20:P39" si="29">SUM(J20+L20+N20)</f>
        <v>2</v>
      </c>
      <c r="Q20" s="103">
        <f t="shared" ref="Q20:Q39" si="30">SUM(K20+M20+O20)</f>
        <v>9</v>
      </c>
      <c r="R20" s="104">
        <f t="shared" ref="R20:R39" si="31">SUM(B20+J20)</f>
        <v>1</v>
      </c>
      <c r="S20" s="104">
        <f t="shared" ref="S20:S39" si="32">SUM(C20+K20)</f>
        <v>4</v>
      </c>
      <c r="T20" s="104">
        <f t="shared" ref="T20:T39" si="33">SUM(D20+L20)</f>
        <v>2</v>
      </c>
      <c r="U20" s="104">
        <f t="shared" ref="U20:U39" si="34">SUM(E20+M20)</f>
        <v>6</v>
      </c>
      <c r="V20" s="104">
        <f t="shared" ref="V20:V39" si="35">SUM(F20+N20)</f>
        <v>2</v>
      </c>
      <c r="W20" s="104">
        <f t="shared" ref="W20:W39" si="36">SUM(G20+O20)</f>
        <v>2</v>
      </c>
      <c r="X20" s="103">
        <f t="shared" ref="X20:X39" si="37">SUM(R20+T20+V20)</f>
        <v>5</v>
      </c>
      <c r="Y20" s="103">
        <f t="shared" ref="Y20:Y39" si="38">SUM(S20+U20+W20)</f>
        <v>12</v>
      </c>
      <c r="AA20" s="42">
        <f t="shared" si="7"/>
        <v>17</v>
      </c>
      <c r="AC20" s="43">
        <f t="shared" si="8"/>
        <v>6</v>
      </c>
      <c r="AD20" s="52">
        <f t="shared" si="9"/>
        <v>11</v>
      </c>
    </row>
    <row r="21" spans="1:30" ht="19.5" customHeight="1">
      <c r="A21" s="100">
        <v>13</v>
      </c>
      <c r="B21" s="92">
        <v>0</v>
      </c>
      <c r="C21" s="92">
        <v>2</v>
      </c>
      <c r="D21" s="92">
        <v>1</v>
      </c>
      <c r="E21" s="92">
        <v>2</v>
      </c>
      <c r="F21" s="92">
        <v>0</v>
      </c>
      <c r="G21" s="92">
        <v>1</v>
      </c>
      <c r="H21" s="103">
        <f t="shared" si="27"/>
        <v>1</v>
      </c>
      <c r="I21" s="103">
        <f t="shared" si="28"/>
        <v>5</v>
      </c>
      <c r="J21" s="92">
        <v>2</v>
      </c>
      <c r="K21" s="92">
        <v>2</v>
      </c>
      <c r="L21" s="92">
        <v>2</v>
      </c>
      <c r="M21" s="92">
        <v>4</v>
      </c>
      <c r="N21" s="92">
        <v>1</v>
      </c>
      <c r="O21" s="92">
        <v>1</v>
      </c>
      <c r="P21" s="103">
        <f t="shared" si="29"/>
        <v>5</v>
      </c>
      <c r="Q21" s="103">
        <f t="shared" si="30"/>
        <v>7</v>
      </c>
      <c r="R21" s="104">
        <f t="shared" si="31"/>
        <v>2</v>
      </c>
      <c r="S21" s="104">
        <f t="shared" si="32"/>
        <v>4</v>
      </c>
      <c r="T21" s="104">
        <f t="shared" si="33"/>
        <v>3</v>
      </c>
      <c r="U21" s="104">
        <f t="shared" si="34"/>
        <v>6</v>
      </c>
      <c r="V21" s="104">
        <f t="shared" si="35"/>
        <v>1</v>
      </c>
      <c r="W21" s="104">
        <f t="shared" si="36"/>
        <v>2</v>
      </c>
      <c r="X21" s="103">
        <f t="shared" si="37"/>
        <v>6</v>
      </c>
      <c r="Y21" s="103">
        <f t="shared" si="38"/>
        <v>12</v>
      </c>
      <c r="AA21" s="42">
        <f t="shared" si="7"/>
        <v>18</v>
      </c>
      <c r="AC21" s="43">
        <f t="shared" si="8"/>
        <v>6</v>
      </c>
      <c r="AD21" s="52">
        <f t="shared" si="9"/>
        <v>12</v>
      </c>
    </row>
    <row r="22" spans="1:30" ht="19.5" customHeight="1">
      <c r="A22" s="100">
        <v>14</v>
      </c>
      <c r="B22" s="92">
        <v>2</v>
      </c>
      <c r="C22" s="92">
        <v>0</v>
      </c>
      <c r="D22" s="92">
        <v>2</v>
      </c>
      <c r="E22" s="92">
        <v>2</v>
      </c>
      <c r="F22" s="92">
        <v>2</v>
      </c>
      <c r="G22" s="92">
        <v>0</v>
      </c>
      <c r="H22" s="103">
        <f t="shared" si="27"/>
        <v>6</v>
      </c>
      <c r="I22" s="103">
        <f t="shared" si="28"/>
        <v>2</v>
      </c>
      <c r="J22" s="92">
        <v>2</v>
      </c>
      <c r="K22" s="92">
        <v>2</v>
      </c>
      <c r="L22" s="92">
        <v>0</v>
      </c>
      <c r="M22" s="92">
        <v>5</v>
      </c>
      <c r="N22" s="92">
        <v>2</v>
      </c>
      <c r="O22" s="92">
        <v>1</v>
      </c>
      <c r="P22" s="103">
        <f t="shared" si="29"/>
        <v>4</v>
      </c>
      <c r="Q22" s="103">
        <f t="shared" si="30"/>
        <v>8</v>
      </c>
      <c r="R22" s="104">
        <f t="shared" si="31"/>
        <v>4</v>
      </c>
      <c r="S22" s="104">
        <f t="shared" si="32"/>
        <v>2</v>
      </c>
      <c r="T22" s="104">
        <f t="shared" si="33"/>
        <v>2</v>
      </c>
      <c r="U22" s="104">
        <f t="shared" si="34"/>
        <v>7</v>
      </c>
      <c r="V22" s="104">
        <f t="shared" si="35"/>
        <v>4</v>
      </c>
      <c r="W22" s="104">
        <f t="shared" si="36"/>
        <v>1</v>
      </c>
      <c r="X22" s="103">
        <f t="shared" si="37"/>
        <v>10</v>
      </c>
      <c r="Y22" s="103">
        <f t="shared" si="38"/>
        <v>10</v>
      </c>
      <c r="AA22" s="42">
        <f t="shared" si="7"/>
        <v>20</v>
      </c>
      <c r="AC22" s="43">
        <f t="shared" si="8"/>
        <v>8</v>
      </c>
      <c r="AD22" s="52">
        <f t="shared" si="9"/>
        <v>12</v>
      </c>
    </row>
    <row r="23" spans="1:30" ht="19.5" customHeight="1">
      <c r="A23" s="100">
        <v>15</v>
      </c>
      <c r="B23" s="92">
        <v>1</v>
      </c>
      <c r="C23" s="92">
        <v>1</v>
      </c>
      <c r="D23" s="92">
        <v>2</v>
      </c>
      <c r="E23" s="92">
        <v>3</v>
      </c>
      <c r="F23" s="92">
        <v>1</v>
      </c>
      <c r="G23" s="92">
        <v>0</v>
      </c>
      <c r="H23" s="103">
        <f t="shared" si="27"/>
        <v>4</v>
      </c>
      <c r="I23" s="103">
        <f t="shared" si="28"/>
        <v>4</v>
      </c>
      <c r="J23" s="92">
        <v>1</v>
      </c>
      <c r="K23" s="92">
        <v>2</v>
      </c>
      <c r="L23" s="92">
        <v>1</v>
      </c>
      <c r="M23" s="92">
        <v>2</v>
      </c>
      <c r="N23" s="92">
        <v>2</v>
      </c>
      <c r="O23" s="92">
        <v>2</v>
      </c>
      <c r="P23" s="103">
        <f t="shared" si="29"/>
        <v>4</v>
      </c>
      <c r="Q23" s="103">
        <f t="shared" si="30"/>
        <v>6</v>
      </c>
      <c r="R23" s="104">
        <f t="shared" si="31"/>
        <v>2</v>
      </c>
      <c r="S23" s="104">
        <f t="shared" si="32"/>
        <v>3</v>
      </c>
      <c r="T23" s="104">
        <f t="shared" si="33"/>
        <v>3</v>
      </c>
      <c r="U23" s="104">
        <f t="shared" si="34"/>
        <v>5</v>
      </c>
      <c r="V23" s="104">
        <f t="shared" si="35"/>
        <v>3</v>
      </c>
      <c r="W23" s="104">
        <f t="shared" si="36"/>
        <v>2</v>
      </c>
      <c r="X23" s="103">
        <f t="shared" si="37"/>
        <v>8</v>
      </c>
      <c r="Y23" s="103">
        <f t="shared" si="38"/>
        <v>10</v>
      </c>
      <c r="Z23" s="84"/>
      <c r="AA23" s="42">
        <f t="shared" si="7"/>
        <v>18</v>
      </c>
      <c r="AC23" s="43">
        <f t="shared" si="8"/>
        <v>8</v>
      </c>
      <c r="AD23" s="52">
        <f t="shared" si="9"/>
        <v>10</v>
      </c>
    </row>
    <row r="24" spans="1:30" ht="19.5" customHeight="1">
      <c r="A24" s="100">
        <v>16</v>
      </c>
      <c r="B24" s="92">
        <v>1</v>
      </c>
      <c r="C24" s="92">
        <v>1</v>
      </c>
      <c r="D24" s="92">
        <v>1</v>
      </c>
      <c r="E24" s="92">
        <v>2</v>
      </c>
      <c r="F24" s="92">
        <v>0</v>
      </c>
      <c r="G24" s="92">
        <v>0</v>
      </c>
      <c r="H24" s="103">
        <f t="shared" si="27"/>
        <v>2</v>
      </c>
      <c r="I24" s="103">
        <f t="shared" si="28"/>
        <v>3</v>
      </c>
      <c r="J24" s="92">
        <v>2</v>
      </c>
      <c r="K24" s="92">
        <v>1</v>
      </c>
      <c r="L24" s="92">
        <v>1</v>
      </c>
      <c r="M24" s="92">
        <v>3</v>
      </c>
      <c r="N24" s="92">
        <v>1</v>
      </c>
      <c r="O24" s="92">
        <v>0</v>
      </c>
      <c r="P24" s="103">
        <f t="shared" si="29"/>
        <v>4</v>
      </c>
      <c r="Q24" s="103">
        <f t="shared" si="30"/>
        <v>4</v>
      </c>
      <c r="R24" s="104">
        <f t="shared" si="31"/>
        <v>3</v>
      </c>
      <c r="S24" s="104">
        <f t="shared" si="32"/>
        <v>2</v>
      </c>
      <c r="T24" s="104">
        <f t="shared" si="33"/>
        <v>2</v>
      </c>
      <c r="U24" s="104">
        <f t="shared" si="34"/>
        <v>5</v>
      </c>
      <c r="V24" s="104">
        <f t="shared" si="35"/>
        <v>1</v>
      </c>
      <c r="W24" s="104">
        <f t="shared" si="36"/>
        <v>0</v>
      </c>
      <c r="X24" s="103">
        <f t="shared" si="37"/>
        <v>6</v>
      </c>
      <c r="Y24" s="103">
        <f t="shared" si="38"/>
        <v>7</v>
      </c>
      <c r="AA24" s="42">
        <f t="shared" si="7"/>
        <v>13</v>
      </c>
      <c r="AC24" s="43">
        <f t="shared" si="8"/>
        <v>5</v>
      </c>
      <c r="AD24" s="52">
        <f t="shared" si="9"/>
        <v>8</v>
      </c>
    </row>
    <row r="25" spans="1:30" ht="19.5" customHeight="1">
      <c r="A25" s="100">
        <v>17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103">
        <f t="shared" si="27"/>
        <v>0</v>
      </c>
      <c r="I25" s="103">
        <f t="shared" si="28"/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103">
        <f t="shared" si="29"/>
        <v>0</v>
      </c>
      <c r="Q25" s="103">
        <f t="shared" si="30"/>
        <v>0</v>
      </c>
      <c r="R25" s="104">
        <f t="shared" si="31"/>
        <v>0</v>
      </c>
      <c r="S25" s="104">
        <f t="shared" si="32"/>
        <v>0</v>
      </c>
      <c r="T25" s="104">
        <f t="shared" si="33"/>
        <v>0</v>
      </c>
      <c r="U25" s="104">
        <f t="shared" si="34"/>
        <v>0</v>
      </c>
      <c r="V25" s="104">
        <f t="shared" si="35"/>
        <v>0</v>
      </c>
      <c r="W25" s="104">
        <f t="shared" si="36"/>
        <v>0</v>
      </c>
      <c r="X25" s="103">
        <f t="shared" si="37"/>
        <v>0</v>
      </c>
      <c r="Y25" s="103">
        <f t="shared" si="38"/>
        <v>0</v>
      </c>
      <c r="AA25" s="42">
        <f t="shared" si="7"/>
        <v>0</v>
      </c>
      <c r="AC25" s="43">
        <f t="shared" si="8"/>
        <v>0</v>
      </c>
      <c r="AD25" s="52">
        <f t="shared" si="9"/>
        <v>0</v>
      </c>
    </row>
    <row r="26" spans="1:30" ht="19.5" customHeight="1">
      <c r="A26" s="100">
        <v>18</v>
      </c>
      <c r="B26" s="92">
        <v>1</v>
      </c>
      <c r="C26" s="92">
        <v>2</v>
      </c>
      <c r="D26" s="92">
        <v>2</v>
      </c>
      <c r="E26" s="92">
        <v>2</v>
      </c>
      <c r="F26" s="92">
        <v>1</v>
      </c>
      <c r="G26" s="92">
        <v>0</v>
      </c>
      <c r="H26" s="103">
        <f t="shared" si="27"/>
        <v>4</v>
      </c>
      <c r="I26" s="103">
        <f t="shared" si="28"/>
        <v>4</v>
      </c>
      <c r="J26" s="92">
        <v>2</v>
      </c>
      <c r="K26" s="92">
        <v>3</v>
      </c>
      <c r="L26" s="92">
        <v>1</v>
      </c>
      <c r="M26" s="92">
        <v>3</v>
      </c>
      <c r="N26" s="92">
        <v>2</v>
      </c>
      <c r="O26" s="92">
        <v>2</v>
      </c>
      <c r="P26" s="103">
        <f t="shared" si="29"/>
        <v>5</v>
      </c>
      <c r="Q26" s="103">
        <f t="shared" si="30"/>
        <v>8</v>
      </c>
      <c r="R26" s="104">
        <f t="shared" si="31"/>
        <v>3</v>
      </c>
      <c r="S26" s="104">
        <f t="shared" si="32"/>
        <v>5</v>
      </c>
      <c r="T26" s="104">
        <f t="shared" si="33"/>
        <v>3</v>
      </c>
      <c r="U26" s="104">
        <f t="shared" si="34"/>
        <v>5</v>
      </c>
      <c r="V26" s="104">
        <f t="shared" si="35"/>
        <v>3</v>
      </c>
      <c r="W26" s="104">
        <f t="shared" si="36"/>
        <v>2</v>
      </c>
      <c r="X26" s="103">
        <f t="shared" si="37"/>
        <v>9</v>
      </c>
      <c r="Y26" s="103">
        <f t="shared" si="38"/>
        <v>12</v>
      </c>
      <c r="AA26" s="42">
        <f t="shared" si="7"/>
        <v>21</v>
      </c>
      <c r="AC26" s="43">
        <f t="shared" si="8"/>
        <v>8</v>
      </c>
      <c r="AD26" s="52">
        <f t="shared" si="9"/>
        <v>13</v>
      </c>
    </row>
    <row r="27" spans="1:30" ht="19.5" customHeight="1">
      <c r="A27" s="100">
        <v>19</v>
      </c>
      <c r="B27" s="92">
        <v>1</v>
      </c>
      <c r="C27" s="92">
        <v>0</v>
      </c>
      <c r="D27" s="92">
        <v>0</v>
      </c>
      <c r="E27" s="92">
        <v>3</v>
      </c>
      <c r="F27" s="92">
        <v>2</v>
      </c>
      <c r="G27" s="92">
        <v>1</v>
      </c>
      <c r="H27" s="103">
        <f t="shared" si="27"/>
        <v>3</v>
      </c>
      <c r="I27" s="103">
        <f t="shared" si="28"/>
        <v>4</v>
      </c>
      <c r="J27" s="92">
        <v>3</v>
      </c>
      <c r="K27" s="92">
        <v>3</v>
      </c>
      <c r="L27" s="92">
        <v>0</v>
      </c>
      <c r="M27" s="92">
        <v>4</v>
      </c>
      <c r="N27" s="92">
        <v>0</v>
      </c>
      <c r="O27" s="92">
        <v>2</v>
      </c>
      <c r="P27" s="103">
        <f t="shared" si="29"/>
        <v>3</v>
      </c>
      <c r="Q27" s="103">
        <f t="shared" si="30"/>
        <v>9</v>
      </c>
      <c r="R27" s="104">
        <f t="shared" si="31"/>
        <v>4</v>
      </c>
      <c r="S27" s="104">
        <f t="shared" si="32"/>
        <v>3</v>
      </c>
      <c r="T27" s="104">
        <f t="shared" si="33"/>
        <v>0</v>
      </c>
      <c r="U27" s="104">
        <f t="shared" si="34"/>
        <v>7</v>
      </c>
      <c r="V27" s="104">
        <f t="shared" si="35"/>
        <v>2</v>
      </c>
      <c r="W27" s="104">
        <f t="shared" si="36"/>
        <v>3</v>
      </c>
      <c r="X27" s="103">
        <f t="shared" si="37"/>
        <v>6</v>
      </c>
      <c r="Y27" s="103">
        <f t="shared" si="38"/>
        <v>13</v>
      </c>
      <c r="AA27" s="42">
        <f t="shared" si="7"/>
        <v>19</v>
      </c>
      <c r="AC27" s="43">
        <f t="shared" si="8"/>
        <v>7</v>
      </c>
      <c r="AD27" s="52">
        <f t="shared" si="9"/>
        <v>12</v>
      </c>
    </row>
    <row r="28" spans="1:30" ht="19.5" customHeight="1">
      <c r="A28" s="100">
        <v>20</v>
      </c>
      <c r="B28" s="92">
        <v>0</v>
      </c>
      <c r="C28" s="92">
        <v>2</v>
      </c>
      <c r="D28" s="92">
        <v>2</v>
      </c>
      <c r="E28" s="92">
        <v>1</v>
      </c>
      <c r="F28" s="92">
        <v>1</v>
      </c>
      <c r="G28" s="92">
        <v>1</v>
      </c>
      <c r="H28" s="103">
        <f t="shared" si="27"/>
        <v>3</v>
      </c>
      <c r="I28" s="103">
        <f t="shared" si="28"/>
        <v>4</v>
      </c>
      <c r="J28" s="92">
        <v>2</v>
      </c>
      <c r="K28" s="92">
        <v>0</v>
      </c>
      <c r="L28" s="92">
        <v>2</v>
      </c>
      <c r="M28" s="92">
        <v>5</v>
      </c>
      <c r="N28" s="92">
        <v>1</v>
      </c>
      <c r="O28" s="92">
        <v>0</v>
      </c>
      <c r="P28" s="103">
        <f t="shared" si="29"/>
        <v>5</v>
      </c>
      <c r="Q28" s="103">
        <f t="shared" si="30"/>
        <v>5</v>
      </c>
      <c r="R28" s="104">
        <f t="shared" si="31"/>
        <v>2</v>
      </c>
      <c r="S28" s="104">
        <f t="shared" si="32"/>
        <v>2</v>
      </c>
      <c r="T28" s="104">
        <f t="shared" si="33"/>
        <v>4</v>
      </c>
      <c r="U28" s="104">
        <f t="shared" si="34"/>
        <v>6</v>
      </c>
      <c r="V28" s="104">
        <f t="shared" si="35"/>
        <v>2</v>
      </c>
      <c r="W28" s="104">
        <f t="shared" si="36"/>
        <v>1</v>
      </c>
      <c r="X28" s="103">
        <f t="shared" si="37"/>
        <v>8</v>
      </c>
      <c r="Y28" s="103">
        <f t="shared" si="38"/>
        <v>9</v>
      </c>
      <c r="AA28" s="42">
        <f t="shared" si="7"/>
        <v>17</v>
      </c>
      <c r="AC28" s="43">
        <f t="shared" si="8"/>
        <v>7</v>
      </c>
      <c r="AD28" s="52">
        <f t="shared" si="9"/>
        <v>10</v>
      </c>
    </row>
    <row r="29" spans="1:30" ht="19.5" customHeight="1">
      <c r="A29" s="100">
        <v>21</v>
      </c>
      <c r="B29" s="92">
        <v>2</v>
      </c>
      <c r="C29" s="92">
        <v>1</v>
      </c>
      <c r="D29" s="92">
        <v>3</v>
      </c>
      <c r="E29" s="92">
        <v>2</v>
      </c>
      <c r="F29" s="92">
        <v>0</v>
      </c>
      <c r="G29" s="92">
        <v>1</v>
      </c>
      <c r="H29" s="103">
        <f t="shared" si="27"/>
        <v>5</v>
      </c>
      <c r="I29" s="103">
        <f t="shared" si="28"/>
        <v>4</v>
      </c>
      <c r="J29" s="92">
        <v>2</v>
      </c>
      <c r="K29" s="92">
        <v>3</v>
      </c>
      <c r="L29" s="92">
        <v>3</v>
      </c>
      <c r="M29" s="92">
        <v>3</v>
      </c>
      <c r="N29" s="92">
        <v>0</v>
      </c>
      <c r="O29" s="92">
        <v>2</v>
      </c>
      <c r="P29" s="103">
        <f t="shared" si="29"/>
        <v>5</v>
      </c>
      <c r="Q29" s="103">
        <f t="shared" si="30"/>
        <v>8</v>
      </c>
      <c r="R29" s="104">
        <f t="shared" si="31"/>
        <v>4</v>
      </c>
      <c r="S29" s="104">
        <f t="shared" si="32"/>
        <v>4</v>
      </c>
      <c r="T29" s="104">
        <f t="shared" si="33"/>
        <v>6</v>
      </c>
      <c r="U29" s="104">
        <f t="shared" si="34"/>
        <v>5</v>
      </c>
      <c r="V29" s="104">
        <f t="shared" si="35"/>
        <v>0</v>
      </c>
      <c r="W29" s="104">
        <f t="shared" si="36"/>
        <v>3</v>
      </c>
      <c r="X29" s="103">
        <f t="shared" si="37"/>
        <v>10</v>
      </c>
      <c r="Y29" s="103">
        <f t="shared" si="38"/>
        <v>12</v>
      </c>
      <c r="AA29" s="42">
        <f t="shared" si="7"/>
        <v>22</v>
      </c>
      <c r="AC29" s="43">
        <f t="shared" si="8"/>
        <v>9</v>
      </c>
      <c r="AD29" s="52">
        <f t="shared" si="9"/>
        <v>13</v>
      </c>
    </row>
    <row r="30" spans="1:30" ht="19.5" customHeight="1">
      <c r="A30" s="100">
        <v>22</v>
      </c>
      <c r="B30" s="92">
        <v>1</v>
      </c>
      <c r="C30" s="92">
        <v>1</v>
      </c>
      <c r="D30" s="92">
        <v>2</v>
      </c>
      <c r="E30" s="92">
        <v>1</v>
      </c>
      <c r="F30" s="92">
        <v>1</v>
      </c>
      <c r="G30" s="92">
        <v>0</v>
      </c>
      <c r="H30" s="103">
        <f t="shared" si="27"/>
        <v>4</v>
      </c>
      <c r="I30" s="103">
        <f t="shared" si="28"/>
        <v>2</v>
      </c>
      <c r="J30" s="92">
        <v>1</v>
      </c>
      <c r="K30" s="92">
        <v>1</v>
      </c>
      <c r="L30" s="92">
        <v>3</v>
      </c>
      <c r="M30" s="92">
        <v>4</v>
      </c>
      <c r="N30" s="92">
        <v>1</v>
      </c>
      <c r="O30" s="92">
        <v>0</v>
      </c>
      <c r="P30" s="103">
        <f t="shared" si="29"/>
        <v>5</v>
      </c>
      <c r="Q30" s="103">
        <f t="shared" si="30"/>
        <v>5</v>
      </c>
      <c r="R30" s="104">
        <f t="shared" si="31"/>
        <v>2</v>
      </c>
      <c r="S30" s="104">
        <f t="shared" si="32"/>
        <v>2</v>
      </c>
      <c r="T30" s="104">
        <f t="shared" si="33"/>
        <v>5</v>
      </c>
      <c r="U30" s="104">
        <f t="shared" si="34"/>
        <v>5</v>
      </c>
      <c r="V30" s="104">
        <f t="shared" si="35"/>
        <v>2</v>
      </c>
      <c r="W30" s="104">
        <f t="shared" si="36"/>
        <v>0</v>
      </c>
      <c r="X30" s="103">
        <f t="shared" si="37"/>
        <v>9</v>
      </c>
      <c r="Y30" s="103">
        <f t="shared" si="38"/>
        <v>7</v>
      </c>
      <c r="AA30" s="42">
        <f t="shared" si="7"/>
        <v>16</v>
      </c>
      <c r="AC30" s="43">
        <f t="shared" si="8"/>
        <v>6</v>
      </c>
      <c r="AD30" s="52">
        <f t="shared" si="9"/>
        <v>10</v>
      </c>
    </row>
    <row r="31" spans="1:30" ht="19.5" customHeight="1">
      <c r="A31" s="100">
        <v>23</v>
      </c>
      <c r="B31" s="92">
        <v>1</v>
      </c>
      <c r="C31" s="92">
        <v>0</v>
      </c>
      <c r="D31" s="92">
        <v>0</v>
      </c>
      <c r="E31" s="92">
        <v>2</v>
      </c>
      <c r="F31" s="92">
        <v>0</v>
      </c>
      <c r="G31" s="92">
        <v>1</v>
      </c>
      <c r="H31" s="103">
        <f t="shared" si="27"/>
        <v>1</v>
      </c>
      <c r="I31" s="103">
        <f t="shared" si="28"/>
        <v>3</v>
      </c>
      <c r="J31" s="92">
        <v>1</v>
      </c>
      <c r="K31" s="92">
        <v>0</v>
      </c>
      <c r="L31" s="92">
        <v>5</v>
      </c>
      <c r="M31" s="92">
        <v>3</v>
      </c>
      <c r="N31" s="92">
        <v>0</v>
      </c>
      <c r="O31" s="92">
        <v>0</v>
      </c>
      <c r="P31" s="103">
        <f t="shared" si="29"/>
        <v>6</v>
      </c>
      <c r="Q31" s="103">
        <f t="shared" si="30"/>
        <v>3</v>
      </c>
      <c r="R31" s="104">
        <f t="shared" si="31"/>
        <v>2</v>
      </c>
      <c r="S31" s="104">
        <f t="shared" si="32"/>
        <v>0</v>
      </c>
      <c r="T31" s="104">
        <f t="shared" si="33"/>
        <v>5</v>
      </c>
      <c r="U31" s="104">
        <f t="shared" si="34"/>
        <v>5</v>
      </c>
      <c r="V31" s="104">
        <f t="shared" si="35"/>
        <v>0</v>
      </c>
      <c r="W31" s="104">
        <f t="shared" si="36"/>
        <v>1</v>
      </c>
      <c r="X31" s="103">
        <f t="shared" si="37"/>
        <v>7</v>
      </c>
      <c r="Y31" s="103">
        <f t="shared" si="38"/>
        <v>6</v>
      </c>
      <c r="AA31" s="42">
        <f t="shared" si="7"/>
        <v>13</v>
      </c>
      <c r="AC31" s="43">
        <f t="shared" si="8"/>
        <v>4</v>
      </c>
      <c r="AD31" s="52">
        <f t="shared" si="9"/>
        <v>9</v>
      </c>
    </row>
    <row r="32" spans="1:30" ht="19.5" customHeight="1">
      <c r="A32" s="100">
        <v>24</v>
      </c>
      <c r="B32" s="92">
        <v>0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103">
        <f t="shared" si="27"/>
        <v>0</v>
      </c>
      <c r="I32" s="103">
        <f t="shared" si="28"/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103">
        <f t="shared" si="29"/>
        <v>0</v>
      </c>
      <c r="Q32" s="103">
        <f t="shared" si="30"/>
        <v>0</v>
      </c>
      <c r="R32" s="104">
        <f t="shared" si="31"/>
        <v>0</v>
      </c>
      <c r="S32" s="104">
        <f t="shared" si="32"/>
        <v>0</v>
      </c>
      <c r="T32" s="104">
        <f t="shared" si="33"/>
        <v>0</v>
      </c>
      <c r="U32" s="104">
        <f t="shared" si="34"/>
        <v>0</v>
      </c>
      <c r="V32" s="104">
        <f t="shared" si="35"/>
        <v>0</v>
      </c>
      <c r="W32" s="104">
        <f t="shared" si="36"/>
        <v>0</v>
      </c>
      <c r="X32" s="103">
        <f t="shared" si="37"/>
        <v>0</v>
      </c>
      <c r="Y32" s="103">
        <f t="shared" si="38"/>
        <v>0</v>
      </c>
      <c r="AA32" s="42">
        <f t="shared" si="7"/>
        <v>0</v>
      </c>
      <c r="AC32" s="43">
        <f t="shared" si="8"/>
        <v>0</v>
      </c>
      <c r="AD32" s="52">
        <f t="shared" si="9"/>
        <v>0</v>
      </c>
    </row>
    <row r="33" spans="1:32" ht="19.5" customHeight="1">
      <c r="A33" s="100">
        <v>25</v>
      </c>
      <c r="B33" s="92">
        <v>1</v>
      </c>
      <c r="C33" s="92">
        <v>1</v>
      </c>
      <c r="D33" s="92">
        <v>3</v>
      </c>
      <c r="E33" s="92">
        <v>2</v>
      </c>
      <c r="F33" s="92">
        <v>0</v>
      </c>
      <c r="G33" s="92">
        <v>0</v>
      </c>
      <c r="H33" s="103">
        <f t="shared" si="27"/>
        <v>4</v>
      </c>
      <c r="I33" s="103">
        <f t="shared" si="28"/>
        <v>3</v>
      </c>
      <c r="J33" s="92">
        <v>1</v>
      </c>
      <c r="K33" s="92">
        <v>2</v>
      </c>
      <c r="L33" s="92">
        <v>1</v>
      </c>
      <c r="M33" s="92">
        <v>5</v>
      </c>
      <c r="N33" s="92">
        <v>2</v>
      </c>
      <c r="O33" s="92">
        <v>1</v>
      </c>
      <c r="P33" s="103">
        <f t="shared" si="29"/>
        <v>4</v>
      </c>
      <c r="Q33" s="103">
        <f t="shared" si="30"/>
        <v>8</v>
      </c>
      <c r="R33" s="104">
        <f t="shared" si="31"/>
        <v>2</v>
      </c>
      <c r="S33" s="104">
        <f t="shared" si="32"/>
        <v>3</v>
      </c>
      <c r="T33" s="104">
        <f t="shared" si="33"/>
        <v>4</v>
      </c>
      <c r="U33" s="104">
        <f t="shared" si="34"/>
        <v>7</v>
      </c>
      <c r="V33" s="104">
        <f t="shared" si="35"/>
        <v>2</v>
      </c>
      <c r="W33" s="104">
        <f t="shared" si="36"/>
        <v>1</v>
      </c>
      <c r="X33" s="103">
        <f t="shared" si="37"/>
        <v>8</v>
      </c>
      <c r="Y33" s="103">
        <f t="shared" si="38"/>
        <v>11</v>
      </c>
      <c r="AA33" s="42">
        <f t="shared" si="7"/>
        <v>19</v>
      </c>
      <c r="AC33" s="43">
        <f t="shared" si="8"/>
        <v>7</v>
      </c>
      <c r="AD33" s="52">
        <f t="shared" si="9"/>
        <v>12</v>
      </c>
    </row>
    <row r="34" spans="1:32" ht="19.5" customHeight="1">
      <c r="A34" s="100">
        <v>26</v>
      </c>
      <c r="B34" s="92">
        <v>1</v>
      </c>
      <c r="C34" s="92">
        <v>1</v>
      </c>
      <c r="D34" s="92">
        <v>4</v>
      </c>
      <c r="E34" s="92">
        <v>0</v>
      </c>
      <c r="F34" s="92">
        <v>2</v>
      </c>
      <c r="G34" s="92">
        <v>1</v>
      </c>
      <c r="H34" s="103">
        <f t="shared" si="27"/>
        <v>7</v>
      </c>
      <c r="I34" s="103">
        <f t="shared" si="28"/>
        <v>2</v>
      </c>
      <c r="J34" s="92">
        <v>3</v>
      </c>
      <c r="K34" s="92">
        <v>1</v>
      </c>
      <c r="L34" s="92">
        <v>4</v>
      </c>
      <c r="M34" s="92">
        <v>3</v>
      </c>
      <c r="N34" s="92">
        <v>0</v>
      </c>
      <c r="O34" s="92">
        <v>1</v>
      </c>
      <c r="P34" s="103">
        <f t="shared" si="29"/>
        <v>7</v>
      </c>
      <c r="Q34" s="103">
        <f t="shared" si="30"/>
        <v>5</v>
      </c>
      <c r="R34" s="104">
        <f t="shared" si="31"/>
        <v>4</v>
      </c>
      <c r="S34" s="104">
        <f t="shared" si="32"/>
        <v>2</v>
      </c>
      <c r="T34" s="104">
        <f t="shared" si="33"/>
        <v>8</v>
      </c>
      <c r="U34" s="104">
        <f t="shared" si="34"/>
        <v>3</v>
      </c>
      <c r="V34" s="104">
        <f t="shared" si="35"/>
        <v>2</v>
      </c>
      <c r="W34" s="104">
        <f t="shared" si="36"/>
        <v>2</v>
      </c>
      <c r="X34" s="103">
        <f t="shared" si="37"/>
        <v>14</v>
      </c>
      <c r="Y34" s="103">
        <f t="shared" si="38"/>
        <v>7</v>
      </c>
      <c r="AA34" s="42">
        <f t="shared" si="7"/>
        <v>21</v>
      </c>
      <c r="AC34" s="43">
        <f t="shared" si="8"/>
        <v>9</v>
      </c>
      <c r="AD34" s="52">
        <f t="shared" si="9"/>
        <v>12</v>
      </c>
    </row>
    <row r="35" spans="1:32" ht="19.5" customHeight="1">
      <c r="A35" s="100">
        <v>27</v>
      </c>
      <c r="B35" s="92">
        <v>0</v>
      </c>
      <c r="C35" s="92">
        <v>0</v>
      </c>
      <c r="D35" s="92">
        <v>1</v>
      </c>
      <c r="E35" s="92">
        <v>0</v>
      </c>
      <c r="F35" s="92">
        <v>2</v>
      </c>
      <c r="G35" s="92">
        <v>2</v>
      </c>
      <c r="H35" s="103">
        <f t="shared" si="27"/>
        <v>3</v>
      </c>
      <c r="I35" s="103">
        <f t="shared" si="28"/>
        <v>2</v>
      </c>
      <c r="J35" s="92">
        <v>3</v>
      </c>
      <c r="K35" s="92">
        <v>2</v>
      </c>
      <c r="L35" s="92">
        <v>4</v>
      </c>
      <c r="M35" s="92">
        <v>2</v>
      </c>
      <c r="N35" s="92">
        <v>1</v>
      </c>
      <c r="O35" s="92">
        <v>0</v>
      </c>
      <c r="P35" s="103">
        <f t="shared" si="29"/>
        <v>8</v>
      </c>
      <c r="Q35" s="103">
        <f t="shared" si="30"/>
        <v>4</v>
      </c>
      <c r="R35" s="104">
        <f t="shared" si="31"/>
        <v>3</v>
      </c>
      <c r="S35" s="104">
        <f t="shared" si="32"/>
        <v>2</v>
      </c>
      <c r="T35" s="104">
        <f t="shared" si="33"/>
        <v>5</v>
      </c>
      <c r="U35" s="104">
        <f t="shared" si="34"/>
        <v>2</v>
      </c>
      <c r="V35" s="104">
        <f t="shared" si="35"/>
        <v>3</v>
      </c>
      <c r="W35" s="104">
        <f t="shared" si="36"/>
        <v>2</v>
      </c>
      <c r="X35" s="103">
        <f t="shared" si="37"/>
        <v>11</v>
      </c>
      <c r="Y35" s="103">
        <f t="shared" si="38"/>
        <v>6</v>
      </c>
      <c r="AA35" s="42">
        <f t="shared" si="7"/>
        <v>17</v>
      </c>
      <c r="AC35" s="43">
        <f t="shared" si="8"/>
        <v>5</v>
      </c>
      <c r="AD35" s="52">
        <f t="shared" si="9"/>
        <v>12</v>
      </c>
    </row>
    <row r="36" spans="1:32" ht="19.5" customHeight="1">
      <c r="A36" s="100">
        <v>28</v>
      </c>
      <c r="B36" s="92">
        <v>0</v>
      </c>
      <c r="C36" s="92">
        <v>2</v>
      </c>
      <c r="D36" s="92">
        <v>1</v>
      </c>
      <c r="E36" s="92">
        <v>2</v>
      </c>
      <c r="F36" s="92">
        <v>1</v>
      </c>
      <c r="G36" s="92">
        <v>0</v>
      </c>
      <c r="H36" s="103">
        <f t="shared" si="27"/>
        <v>2</v>
      </c>
      <c r="I36" s="103">
        <f t="shared" si="28"/>
        <v>4</v>
      </c>
      <c r="J36" s="92">
        <v>3</v>
      </c>
      <c r="K36" s="92">
        <v>2</v>
      </c>
      <c r="L36" s="92">
        <v>0</v>
      </c>
      <c r="M36" s="92">
        <v>6</v>
      </c>
      <c r="N36" s="92">
        <v>2</v>
      </c>
      <c r="O36" s="92">
        <v>1</v>
      </c>
      <c r="P36" s="103">
        <f t="shared" si="29"/>
        <v>5</v>
      </c>
      <c r="Q36" s="103">
        <f t="shared" si="30"/>
        <v>9</v>
      </c>
      <c r="R36" s="104">
        <f t="shared" si="31"/>
        <v>3</v>
      </c>
      <c r="S36" s="104">
        <f t="shared" si="32"/>
        <v>4</v>
      </c>
      <c r="T36" s="104">
        <f t="shared" si="33"/>
        <v>1</v>
      </c>
      <c r="U36" s="104">
        <f t="shared" si="34"/>
        <v>8</v>
      </c>
      <c r="V36" s="104">
        <f t="shared" si="35"/>
        <v>3</v>
      </c>
      <c r="W36" s="104">
        <f t="shared" si="36"/>
        <v>1</v>
      </c>
      <c r="X36" s="103">
        <f t="shared" si="37"/>
        <v>7</v>
      </c>
      <c r="Y36" s="103">
        <f t="shared" si="38"/>
        <v>13</v>
      </c>
      <c r="AA36" s="42">
        <f t="shared" si="7"/>
        <v>20</v>
      </c>
      <c r="AC36" s="43">
        <f t="shared" si="8"/>
        <v>6</v>
      </c>
      <c r="AD36" s="52">
        <f t="shared" si="9"/>
        <v>14</v>
      </c>
    </row>
    <row r="37" spans="1:32" ht="19.5" customHeight="1">
      <c r="A37" s="100">
        <v>29</v>
      </c>
      <c r="B37" s="92">
        <v>3</v>
      </c>
      <c r="C37" s="92">
        <v>0</v>
      </c>
      <c r="D37" s="92">
        <v>1</v>
      </c>
      <c r="E37" s="92">
        <v>2</v>
      </c>
      <c r="F37" s="92">
        <v>1</v>
      </c>
      <c r="G37" s="92">
        <v>1</v>
      </c>
      <c r="H37" s="103">
        <f t="shared" si="27"/>
        <v>5</v>
      </c>
      <c r="I37" s="103">
        <f t="shared" si="28"/>
        <v>3</v>
      </c>
      <c r="J37" s="92">
        <v>2</v>
      </c>
      <c r="K37" s="92">
        <v>3</v>
      </c>
      <c r="L37" s="92">
        <v>5</v>
      </c>
      <c r="M37" s="92">
        <v>2</v>
      </c>
      <c r="N37" s="92">
        <v>1</v>
      </c>
      <c r="O37" s="92">
        <v>1</v>
      </c>
      <c r="P37" s="103">
        <f t="shared" si="29"/>
        <v>8</v>
      </c>
      <c r="Q37" s="103">
        <f t="shared" si="30"/>
        <v>6</v>
      </c>
      <c r="R37" s="104">
        <f t="shared" si="31"/>
        <v>5</v>
      </c>
      <c r="S37" s="104">
        <f t="shared" si="32"/>
        <v>3</v>
      </c>
      <c r="T37" s="104">
        <f t="shared" si="33"/>
        <v>6</v>
      </c>
      <c r="U37" s="104">
        <f t="shared" si="34"/>
        <v>4</v>
      </c>
      <c r="V37" s="104">
        <f t="shared" si="35"/>
        <v>2</v>
      </c>
      <c r="W37" s="104">
        <f t="shared" si="36"/>
        <v>2</v>
      </c>
      <c r="X37" s="103">
        <f t="shared" si="37"/>
        <v>13</v>
      </c>
      <c r="Y37" s="103">
        <f t="shared" si="38"/>
        <v>9</v>
      </c>
      <c r="Z37" s="39"/>
      <c r="AA37" s="42">
        <f t="shared" si="7"/>
        <v>22</v>
      </c>
      <c r="AC37" s="43">
        <f t="shared" si="8"/>
        <v>8</v>
      </c>
      <c r="AD37" s="52">
        <f t="shared" si="9"/>
        <v>14</v>
      </c>
    </row>
    <row r="38" spans="1:32" ht="19.5" customHeight="1">
      <c r="A38" s="100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103">
        <f t="shared" si="27"/>
        <v>0</v>
      </c>
      <c r="I38" s="103">
        <f t="shared" si="28"/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103">
        <f t="shared" si="29"/>
        <v>0</v>
      </c>
      <c r="Q38" s="103">
        <f t="shared" si="30"/>
        <v>0</v>
      </c>
      <c r="R38" s="104">
        <f t="shared" si="31"/>
        <v>0</v>
      </c>
      <c r="S38" s="104">
        <f t="shared" si="32"/>
        <v>0</v>
      </c>
      <c r="T38" s="104">
        <f t="shared" si="33"/>
        <v>0</v>
      </c>
      <c r="U38" s="104">
        <f t="shared" si="34"/>
        <v>0</v>
      </c>
      <c r="V38" s="104">
        <f t="shared" si="35"/>
        <v>0</v>
      </c>
      <c r="W38" s="104">
        <f t="shared" si="36"/>
        <v>0</v>
      </c>
      <c r="X38" s="103">
        <f t="shared" si="37"/>
        <v>0</v>
      </c>
      <c r="Y38" s="103">
        <f t="shared" si="38"/>
        <v>0</v>
      </c>
      <c r="AA38" s="42">
        <f t="shared" si="7"/>
        <v>0</v>
      </c>
      <c r="AB38" s="37"/>
      <c r="AC38" s="43">
        <f t="shared" si="8"/>
        <v>0</v>
      </c>
      <c r="AD38" s="52">
        <f t="shared" si="9"/>
        <v>0</v>
      </c>
      <c r="AF38" s="38"/>
    </row>
    <row r="39" spans="1:32" s="34" customFormat="1" ht="19.5" customHeight="1">
      <c r="A39" s="100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103">
        <f t="shared" si="27"/>
        <v>0</v>
      </c>
      <c r="I39" s="103">
        <f t="shared" si="28"/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103">
        <f t="shared" si="29"/>
        <v>0</v>
      </c>
      <c r="Q39" s="103">
        <f t="shared" si="30"/>
        <v>0</v>
      </c>
      <c r="R39" s="104">
        <f t="shared" si="31"/>
        <v>0</v>
      </c>
      <c r="S39" s="104">
        <f t="shared" si="32"/>
        <v>0</v>
      </c>
      <c r="T39" s="104">
        <f t="shared" si="33"/>
        <v>0</v>
      </c>
      <c r="U39" s="104">
        <f t="shared" si="34"/>
        <v>0</v>
      </c>
      <c r="V39" s="104">
        <f t="shared" si="35"/>
        <v>0</v>
      </c>
      <c r="W39" s="104">
        <f t="shared" si="36"/>
        <v>0</v>
      </c>
      <c r="X39" s="103">
        <f t="shared" si="37"/>
        <v>0</v>
      </c>
      <c r="Y39" s="103">
        <f t="shared" si="38"/>
        <v>0</v>
      </c>
      <c r="AA39" s="42">
        <f t="shared" si="7"/>
        <v>0</v>
      </c>
      <c r="AC39" s="43">
        <f t="shared" si="8"/>
        <v>0</v>
      </c>
      <c r="AD39" s="52">
        <f t="shared" si="9"/>
        <v>0</v>
      </c>
    </row>
    <row r="40" spans="1:32" ht="19.5" customHeight="1">
      <c r="A40" s="105" t="s">
        <v>54</v>
      </c>
      <c r="B40" s="106">
        <f>SUM(B9:B39)</f>
        <v>20</v>
      </c>
      <c r="C40" s="106">
        <f>SUM(C8:C39)</f>
        <v>17</v>
      </c>
      <c r="D40" s="106">
        <f>SUM(D9:D39)</f>
        <v>30</v>
      </c>
      <c r="E40" s="106">
        <f>SUM(E9:E39)</f>
        <v>34</v>
      </c>
      <c r="F40" s="106">
        <f>SUM(F9:F39)</f>
        <v>17</v>
      </c>
      <c r="G40" s="106">
        <f>SUM(G9:G39)</f>
        <v>11</v>
      </c>
      <c r="H40" s="103">
        <f>SUM(B40+D40+F40)</f>
        <v>67</v>
      </c>
      <c r="I40" s="103">
        <f>SUM(C40+E40+G40)</f>
        <v>62</v>
      </c>
      <c r="J40" s="106">
        <f t="shared" ref="J40:O40" si="39">SUM(J9:J39)</f>
        <v>35</v>
      </c>
      <c r="K40" s="106">
        <f t="shared" si="39"/>
        <v>34</v>
      </c>
      <c r="L40" s="106">
        <f t="shared" si="39"/>
        <v>46</v>
      </c>
      <c r="M40" s="106">
        <f t="shared" si="39"/>
        <v>68</v>
      </c>
      <c r="N40" s="106">
        <f t="shared" si="39"/>
        <v>20</v>
      </c>
      <c r="O40" s="106">
        <f t="shared" si="39"/>
        <v>17</v>
      </c>
      <c r="P40" s="103">
        <f>SUM(J40+L40+N40)</f>
        <v>101</v>
      </c>
      <c r="Q40" s="103">
        <f>SUM(K40+M40+O40)</f>
        <v>119</v>
      </c>
      <c r="R40" s="103">
        <f t="shared" ref="R40:W40" si="40">SUM(B40+J40)</f>
        <v>55</v>
      </c>
      <c r="S40" s="103">
        <f t="shared" si="40"/>
        <v>51</v>
      </c>
      <c r="T40" s="103">
        <f t="shared" si="40"/>
        <v>76</v>
      </c>
      <c r="U40" s="103">
        <f t="shared" si="40"/>
        <v>102</v>
      </c>
      <c r="V40" s="103">
        <f t="shared" si="40"/>
        <v>37</v>
      </c>
      <c r="W40" s="103">
        <f t="shared" si="40"/>
        <v>28</v>
      </c>
      <c r="X40" s="103">
        <f>SUM(H40+P40)</f>
        <v>168</v>
      </c>
      <c r="Y40" s="103">
        <f>SUM(I40+Q40)</f>
        <v>181</v>
      </c>
      <c r="AA40" s="48">
        <f>SUM(AA9:AA39)</f>
        <v>349</v>
      </c>
      <c r="AC40" s="47">
        <f>SUM(AC9:AC39)</f>
        <v>129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40"/>
      <c r="AC41" s="40"/>
      <c r="AD41" s="40"/>
      <c r="AE41" s="40"/>
    </row>
    <row r="42" spans="1:32" ht="14.25" customHeight="1">
      <c r="A42" s="25"/>
      <c r="AB42" s="57" t="s">
        <v>114</v>
      </c>
      <c r="AC42" s="58"/>
      <c r="AD42" s="44">
        <f>SUM(D40+F40+L40+N40)</f>
        <v>113</v>
      </c>
      <c r="AE42" s="54">
        <f>SUM(AD42+AD43+AD44)</f>
        <v>349</v>
      </c>
    </row>
    <row r="43" spans="1:32" ht="14.25" customHeight="1">
      <c r="A43" s="25"/>
      <c r="AB43" s="57" t="s">
        <v>115</v>
      </c>
      <c r="AC43" s="58"/>
      <c r="AD43" s="44">
        <f>SUM(E40+G40+M40+O40)</f>
        <v>130</v>
      </c>
      <c r="AE43" s="54"/>
    </row>
    <row r="44" spans="1:32" ht="14.25" customHeight="1">
      <c r="A44" s="25"/>
      <c r="AB44" s="57" t="s">
        <v>117</v>
      </c>
      <c r="AC44" s="58"/>
      <c r="AD44" s="44">
        <f>SUM(B40+C40+J40+K40)</f>
        <v>106</v>
      </c>
      <c r="AE44" s="54"/>
    </row>
    <row r="45" spans="1:32" ht="14.25" customHeight="1">
      <c r="P45" s="6"/>
      <c r="AB45" s="55" t="s">
        <v>112</v>
      </c>
      <c r="AC45" s="54"/>
      <c r="AD45" s="44">
        <f>SUM(H40+I40)</f>
        <v>129</v>
      </c>
      <c r="AE45" s="54">
        <f>SUM(H40+I40+P40+Q40)</f>
        <v>349</v>
      </c>
    </row>
    <row r="46" spans="1:32" ht="14.25" customHeight="1">
      <c r="AB46" s="55" t="s">
        <v>113</v>
      </c>
      <c r="AC46" s="54"/>
      <c r="AD46" s="44">
        <f>SUM(P40+Q40)</f>
        <v>220</v>
      </c>
      <c r="AE46" s="54"/>
    </row>
    <row r="47" spans="1:32" ht="14.25" customHeight="1">
      <c r="AB47" s="56"/>
      <c r="AC47" s="56"/>
      <c r="AD47" s="41"/>
      <c r="AE47" s="41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0"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  <mergeCell ref="A2:Y2"/>
    <mergeCell ref="A3:Y3"/>
    <mergeCell ref="A4:Y4"/>
    <mergeCell ref="B6:I6"/>
    <mergeCell ref="A1:Y1"/>
    <mergeCell ref="A5:K5"/>
    <mergeCell ref="N5:Y5"/>
    <mergeCell ref="L5:M5"/>
    <mergeCell ref="AE42:AE44"/>
    <mergeCell ref="AB45:AC45"/>
    <mergeCell ref="AB46:AC46"/>
    <mergeCell ref="AB47:AC47"/>
    <mergeCell ref="AB42:AC42"/>
    <mergeCell ref="AB43:AC43"/>
    <mergeCell ref="AB44:AC44"/>
    <mergeCell ref="AE45:AE46"/>
  </mergeCells>
  <printOptions horizontalCentered="1" verticalCentered="1"/>
  <pageMargins left="0.59055118110236227" right="0.70866141732283472" top="0.70866141732283472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66" t="s">
        <v>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26" ht="24.75" customHeight="1">
      <c r="A2" s="63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26" ht="24.75" customHeight="1">
      <c r="A3" s="64" t="s">
        <v>61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26" ht="24.75" customHeight="1">
      <c r="A4" s="59" t="s">
        <v>15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61" t="s">
        <v>62</v>
      </c>
      <c r="J10" s="62"/>
      <c r="K10" s="62"/>
      <c r="L10" s="62"/>
    </row>
    <row r="11" spans="1:26" ht="14.25" customHeight="1">
      <c r="I11" s="62"/>
      <c r="J11" s="62"/>
      <c r="K11" s="62"/>
      <c r="L11" s="62"/>
    </row>
    <row r="12" spans="1:26" ht="14.25" customHeight="1">
      <c r="I12" s="62"/>
      <c r="J12" s="62"/>
      <c r="K12" s="62"/>
      <c r="L12" s="62"/>
    </row>
    <row r="13" spans="1:26" ht="14.25" customHeight="1">
      <c r="I13" s="62"/>
      <c r="J13" s="62"/>
      <c r="K13" s="62"/>
      <c r="L13" s="62"/>
    </row>
    <row r="14" spans="1:26" ht="14.25" customHeight="1">
      <c r="I14" s="62"/>
      <c r="J14" s="62"/>
      <c r="K14" s="62"/>
      <c r="L14" s="62"/>
    </row>
    <row r="15" spans="1:26" ht="14.25" customHeight="1">
      <c r="I15" s="62"/>
      <c r="J15" s="62"/>
      <c r="K15" s="62"/>
      <c r="L15" s="62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69" t="s">
        <v>33</v>
      </c>
      <c r="B1" s="62"/>
      <c r="C1" s="62"/>
      <c r="D1" s="62"/>
      <c r="E1" s="62"/>
      <c r="F1" s="62"/>
      <c r="G1" s="62"/>
      <c r="H1" s="62"/>
    </row>
    <row r="2" spans="1:26" ht="24.75" customHeight="1">
      <c r="A2" s="63" t="s">
        <v>14</v>
      </c>
      <c r="B2" s="62"/>
      <c r="C2" s="62"/>
      <c r="D2" s="62"/>
      <c r="E2" s="62"/>
      <c r="F2" s="62"/>
      <c r="G2" s="62"/>
      <c r="H2" s="62"/>
    </row>
    <row r="3" spans="1:26" ht="24.75" customHeight="1">
      <c r="A3" s="70" t="s">
        <v>63</v>
      </c>
      <c r="B3" s="62"/>
      <c r="C3" s="62"/>
      <c r="D3" s="62"/>
      <c r="E3" s="62"/>
      <c r="F3" s="62"/>
      <c r="G3" s="62"/>
      <c r="H3" s="62"/>
    </row>
    <row r="4" spans="1:26" ht="26.25" customHeight="1">
      <c r="A4" s="64" t="s">
        <v>110</v>
      </c>
      <c r="B4" s="65"/>
      <c r="C4" s="65"/>
      <c r="D4" s="65"/>
      <c r="E4" s="65"/>
      <c r="F4" s="65"/>
      <c r="G4" s="65"/>
      <c r="H4" s="65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67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68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67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68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67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68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67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68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tabSelected="1" view="pageLayout" topLeftCell="B46" workbookViewId="0">
      <selection activeCell="AF67" sqref="AF67"/>
    </sheetView>
  </sheetViews>
  <sheetFormatPr defaultColWidth="9.109375" defaultRowHeight="14.4"/>
  <cols>
    <col min="1" max="1" width="5.88671875" style="50" customWidth="1"/>
    <col min="2" max="2" width="14.88671875" style="50" customWidth="1"/>
    <col min="3" max="3" width="3.88671875" style="50" customWidth="1"/>
    <col min="4" max="4" width="4" style="50" customWidth="1"/>
    <col min="5" max="6" width="3.88671875" style="50" customWidth="1"/>
    <col min="7" max="11" width="4" style="50" customWidth="1"/>
    <col min="12" max="12" width="3.6640625" style="50" customWidth="1"/>
    <col min="13" max="33" width="4" style="50" customWidth="1"/>
    <col min="34" max="16384" width="9.109375" style="35"/>
  </cols>
  <sheetData>
    <row r="1" spans="1:34">
      <c r="A1" s="71" t="s">
        <v>13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3"/>
    </row>
    <row r="2" spans="1:34" ht="15.75" customHeight="1">
      <c r="A2" s="74" t="s">
        <v>14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4">
      <c r="A3" s="71" t="s">
        <v>123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3"/>
    </row>
    <row r="4" spans="1:34">
      <c r="A4" s="45" t="s">
        <v>16</v>
      </c>
      <c r="B4" s="45" t="s">
        <v>64</v>
      </c>
      <c r="C4" s="45">
        <v>1</v>
      </c>
      <c r="D4" s="45">
        <v>2</v>
      </c>
      <c r="E4" s="45">
        <v>3</v>
      </c>
      <c r="F4" s="45">
        <v>4</v>
      </c>
      <c r="G4" s="45">
        <v>5</v>
      </c>
      <c r="H4" s="45">
        <v>6</v>
      </c>
      <c r="I4" s="45">
        <v>7</v>
      </c>
      <c r="J4" s="45">
        <v>8</v>
      </c>
      <c r="K4" s="45">
        <v>9</v>
      </c>
      <c r="L4" s="45">
        <v>10</v>
      </c>
      <c r="M4" s="45">
        <v>11</v>
      </c>
      <c r="N4" s="45">
        <v>12</v>
      </c>
      <c r="O4" s="45">
        <v>13</v>
      </c>
      <c r="P4" s="45">
        <v>14</v>
      </c>
      <c r="Q4" s="45">
        <v>15</v>
      </c>
      <c r="R4" s="45">
        <v>16</v>
      </c>
      <c r="S4" s="45">
        <v>17</v>
      </c>
      <c r="T4" s="45">
        <v>18</v>
      </c>
      <c r="U4" s="45">
        <v>19</v>
      </c>
      <c r="V4" s="45">
        <v>20</v>
      </c>
      <c r="W4" s="45">
        <v>21</v>
      </c>
      <c r="X4" s="45">
        <v>22</v>
      </c>
      <c r="Y4" s="45">
        <v>23</v>
      </c>
      <c r="Z4" s="45">
        <v>24</v>
      </c>
      <c r="AA4" s="45">
        <v>25</v>
      </c>
      <c r="AB4" s="45">
        <v>26</v>
      </c>
      <c r="AC4" s="45">
        <v>27</v>
      </c>
      <c r="AD4" s="45">
        <v>28</v>
      </c>
      <c r="AE4" s="45">
        <v>29</v>
      </c>
      <c r="AF4" s="45">
        <v>30</v>
      </c>
      <c r="AG4" s="51">
        <v>31</v>
      </c>
    </row>
    <row r="5" spans="1:34" ht="18">
      <c r="A5" s="49" t="s">
        <v>30</v>
      </c>
      <c r="B5" s="77" t="s">
        <v>65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9"/>
    </row>
    <row r="6" spans="1:34">
      <c r="A6" s="49">
        <v>1</v>
      </c>
      <c r="B6" s="45" t="s">
        <v>65</v>
      </c>
      <c r="C6" s="49">
        <v>1</v>
      </c>
      <c r="D6" s="49"/>
      <c r="E6" s="49"/>
      <c r="F6" s="49"/>
      <c r="G6" s="49"/>
      <c r="H6" s="49">
        <v>1</v>
      </c>
      <c r="I6" s="49"/>
      <c r="J6" s="49">
        <v>1</v>
      </c>
      <c r="K6" s="49"/>
      <c r="L6" s="49"/>
      <c r="M6" s="49"/>
      <c r="N6" s="49">
        <v>1</v>
      </c>
      <c r="O6" s="49"/>
      <c r="P6" s="49"/>
      <c r="Q6" s="49"/>
      <c r="R6" s="49"/>
      <c r="S6" s="49"/>
      <c r="T6" s="49">
        <v>1</v>
      </c>
      <c r="U6" s="49">
        <v>1</v>
      </c>
      <c r="V6" s="49">
        <v>1</v>
      </c>
      <c r="W6" s="49">
        <v>1</v>
      </c>
      <c r="X6" s="49">
        <v>1</v>
      </c>
      <c r="Y6" s="49"/>
      <c r="Z6" s="49"/>
      <c r="AA6" s="49">
        <v>1</v>
      </c>
      <c r="AB6" s="49">
        <v>1</v>
      </c>
      <c r="AC6" s="49"/>
      <c r="AD6" s="49">
        <v>1</v>
      </c>
      <c r="AE6" s="49">
        <v>1</v>
      </c>
      <c r="AF6" s="49"/>
      <c r="AG6" s="51"/>
      <c r="AH6" s="35">
        <f>SUM(C6:AG6)</f>
        <v>13</v>
      </c>
    </row>
    <row r="7" spans="1:34">
      <c r="A7" s="80" t="s">
        <v>31</v>
      </c>
      <c r="B7" s="80"/>
      <c r="C7" s="53">
        <f t="shared" ref="C7:AF7" si="0">SUM(C6)</f>
        <v>1</v>
      </c>
      <c r="D7" s="45">
        <f t="shared" si="0"/>
        <v>0</v>
      </c>
      <c r="E7" s="45">
        <f t="shared" si="0"/>
        <v>0</v>
      </c>
      <c r="F7" s="45">
        <f t="shared" si="0"/>
        <v>0</v>
      </c>
      <c r="G7" s="45">
        <f>SUM(G6)</f>
        <v>0</v>
      </c>
      <c r="H7" s="45">
        <f t="shared" si="0"/>
        <v>1</v>
      </c>
      <c r="I7" s="45">
        <f>SUM(I6)</f>
        <v>0</v>
      </c>
      <c r="J7" s="45">
        <f t="shared" si="0"/>
        <v>1</v>
      </c>
      <c r="K7" s="45">
        <f t="shared" si="0"/>
        <v>0</v>
      </c>
      <c r="L7" s="45">
        <f t="shared" si="0"/>
        <v>0</v>
      </c>
      <c r="M7" s="45">
        <f t="shared" si="0"/>
        <v>0</v>
      </c>
      <c r="N7" s="45">
        <f t="shared" si="0"/>
        <v>1</v>
      </c>
      <c r="O7" s="45">
        <f t="shared" si="0"/>
        <v>0</v>
      </c>
      <c r="P7" s="45">
        <f t="shared" si="0"/>
        <v>0</v>
      </c>
      <c r="Q7" s="45">
        <f t="shared" si="0"/>
        <v>0</v>
      </c>
      <c r="R7" s="45">
        <f t="shared" si="0"/>
        <v>0</v>
      </c>
      <c r="S7" s="45">
        <f t="shared" si="0"/>
        <v>0</v>
      </c>
      <c r="T7" s="45">
        <f t="shared" si="0"/>
        <v>1</v>
      </c>
      <c r="U7" s="45">
        <f t="shared" si="0"/>
        <v>1</v>
      </c>
      <c r="V7" s="45">
        <f t="shared" si="0"/>
        <v>1</v>
      </c>
      <c r="W7" s="45">
        <f t="shared" si="0"/>
        <v>1</v>
      </c>
      <c r="X7" s="45">
        <f t="shared" si="0"/>
        <v>1</v>
      </c>
      <c r="Y7" s="45">
        <f t="shared" si="0"/>
        <v>0</v>
      </c>
      <c r="Z7" s="45">
        <f t="shared" si="0"/>
        <v>0</v>
      </c>
      <c r="AA7" s="45">
        <f t="shared" si="0"/>
        <v>1</v>
      </c>
      <c r="AB7" s="45">
        <f t="shared" si="0"/>
        <v>1</v>
      </c>
      <c r="AC7" s="45">
        <f t="shared" si="0"/>
        <v>0</v>
      </c>
      <c r="AD7" s="45">
        <f t="shared" si="0"/>
        <v>1</v>
      </c>
      <c r="AE7" s="45">
        <f t="shared" si="0"/>
        <v>1</v>
      </c>
      <c r="AF7" s="45">
        <f t="shared" si="0"/>
        <v>0</v>
      </c>
      <c r="AG7" s="51">
        <v>0</v>
      </c>
    </row>
    <row r="8" spans="1:34" ht="18">
      <c r="A8" s="49" t="s">
        <v>32</v>
      </c>
      <c r="B8" s="81" t="s">
        <v>66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51"/>
      <c r="AH8" s="35">
        <f t="shared" ref="AH8:AH67" si="1">SUM(C8:AG8)</f>
        <v>0</v>
      </c>
    </row>
    <row r="9" spans="1:34">
      <c r="A9" s="45">
        <v>2</v>
      </c>
      <c r="B9" s="45" t="s">
        <v>67</v>
      </c>
      <c r="C9" s="45"/>
      <c r="D9" s="45"/>
      <c r="E9" s="45"/>
      <c r="F9" s="45"/>
      <c r="G9" s="45"/>
      <c r="H9" s="45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35">
        <f t="shared" si="1"/>
        <v>0</v>
      </c>
    </row>
    <row r="10" spans="1:34">
      <c r="A10" s="45">
        <v>3</v>
      </c>
      <c r="B10" s="45" t="s">
        <v>68</v>
      </c>
      <c r="C10" s="45"/>
      <c r="D10" s="45"/>
      <c r="E10" s="45"/>
      <c r="F10" s="45"/>
      <c r="G10" s="45"/>
      <c r="H10" s="45"/>
      <c r="I10" s="49"/>
      <c r="J10" s="49">
        <v>2</v>
      </c>
      <c r="K10" s="49"/>
      <c r="L10" s="49"/>
      <c r="M10" s="49"/>
      <c r="N10" s="49"/>
      <c r="O10" s="49"/>
      <c r="P10" s="49">
        <v>2</v>
      </c>
      <c r="Q10" s="49">
        <v>2</v>
      </c>
      <c r="R10" s="49">
        <v>2</v>
      </c>
      <c r="S10" s="49"/>
      <c r="T10" s="49"/>
      <c r="U10" s="49">
        <v>2</v>
      </c>
      <c r="V10" s="49">
        <v>1</v>
      </c>
      <c r="W10" s="49">
        <v>2</v>
      </c>
      <c r="X10" s="49"/>
      <c r="Y10" s="49">
        <v>1</v>
      </c>
      <c r="Z10" s="49"/>
      <c r="AA10" s="49">
        <v>2</v>
      </c>
      <c r="AB10" s="49"/>
      <c r="AC10" s="49"/>
      <c r="AD10" s="49">
        <v>2</v>
      </c>
      <c r="AE10" s="49">
        <v>1</v>
      </c>
      <c r="AF10" s="49"/>
      <c r="AG10" s="49"/>
      <c r="AH10" s="35">
        <f t="shared" si="1"/>
        <v>19</v>
      </c>
    </row>
    <row r="11" spans="1:34">
      <c r="A11" s="45">
        <v>4</v>
      </c>
      <c r="B11" s="45" t="s">
        <v>69</v>
      </c>
      <c r="C11" s="45"/>
      <c r="D11" s="45"/>
      <c r="E11" s="45"/>
      <c r="F11" s="45"/>
      <c r="G11" s="45"/>
      <c r="H11" s="45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35">
        <f t="shared" si="1"/>
        <v>0</v>
      </c>
    </row>
    <row r="12" spans="1:34">
      <c r="A12" s="45">
        <v>5</v>
      </c>
      <c r="B12" s="45" t="s">
        <v>59</v>
      </c>
      <c r="C12" s="45"/>
      <c r="D12" s="45"/>
      <c r="E12" s="45"/>
      <c r="F12" s="45"/>
      <c r="G12" s="45"/>
      <c r="H12" s="45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35">
        <f t="shared" si="1"/>
        <v>0</v>
      </c>
    </row>
    <row r="13" spans="1:34">
      <c r="A13" s="80" t="s">
        <v>31</v>
      </c>
      <c r="B13" s="80"/>
      <c r="C13" s="45">
        <f>SUM(C9:C12)</f>
        <v>0</v>
      </c>
      <c r="D13" s="45">
        <f t="shared" ref="D13:AF13" si="2">SUM(D9:D12)</f>
        <v>0</v>
      </c>
      <c r="E13" s="45">
        <f t="shared" si="2"/>
        <v>0</v>
      </c>
      <c r="F13" s="45">
        <f t="shared" si="2"/>
        <v>0</v>
      </c>
      <c r="G13" s="45">
        <f t="shared" si="2"/>
        <v>0</v>
      </c>
      <c r="H13" s="45">
        <f t="shared" si="2"/>
        <v>0</v>
      </c>
      <c r="I13" s="45">
        <f t="shared" si="2"/>
        <v>0</v>
      </c>
      <c r="J13" s="45">
        <f t="shared" si="2"/>
        <v>2</v>
      </c>
      <c r="K13" s="45">
        <f t="shared" si="2"/>
        <v>0</v>
      </c>
      <c r="L13" s="45">
        <f t="shared" si="2"/>
        <v>0</v>
      </c>
      <c r="M13" s="45">
        <f t="shared" si="2"/>
        <v>0</v>
      </c>
      <c r="N13" s="45">
        <f t="shared" si="2"/>
        <v>0</v>
      </c>
      <c r="O13" s="45">
        <f t="shared" si="2"/>
        <v>0</v>
      </c>
      <c r="P13" s="45">
        <f t="shared" si="2"/>
        <v>2</v>
      </c>
      <c r="Q13" s="45">
        <f t="shared" si="2"/>
        <v>2</v>
      </c>
      <c r="R13" s="45">
        <f t="shared" si="2"/>
        <v>2</v>
      </c>
      <c r="S13" s="45">
        <f t="shared" si="2"/>
        <v>0</v>
      </c>
      <c r="T13" s="45">
        <f t="shared" si="2"/>
        <v>0</v>
      </c>
      <c r="U13" s="45">
        <f t="shared" si="2"/>
        <v>2</v>
      </c>
      <c r="V13" s="45">
        <f t="shared" si="2"/>
        <v>1</v>
      </c>
      <c r="W13" s="45">
        <f t="shared" si="2"/>
        <v>2</v>
      </c>
      <c r="X13" s="45">
        <f t="shared" si="2"/>
        <v>0</v>
      </c>
      <c r="Y13" s="45">
        <f t="shared" si="2"/>
        <v>1</v>
      </c>
      <c r="Z13" s="45">
        <f t="shared" si="2"/>
        <v>0</v>
      </c>
      <c r="AA13" s="45">
        <f t="shared" si="2"/>
        <v>2</v>
      </c>
      <c r="AB13" s="45">
        <f t="shared" si="2"/>
        <v>0</v>
      </c>
      <c r="AC13" s="45">
        <f t="shared" si="2"/>
        <v>0</v>
      </c>
      <c r="AD13" s="45">
        <f t="shared" si="2"/>
        <v>2</v>
      </c>
      <c r="AE13" s="45">
        <f t="shared" si="2"/>
        <v>1</v>
      </c>
      <c r="AF13" s="45">
        <f t="shared" si="2"/>
        <v>0</v>
      </c>
      <c r="AG13" s="45">
        <f t="shared" ref="AG13" si="3">SUM(AG9:AG12)</f>
        <v>0</v>
      </c>
    </row>
    <row r="14" spans="1:34" ht="18">
      <c r="A14" s="49" t="s">
        <v>47</v>
      </c>
      <c r="B14" s="77" t="s">
        <v>70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35">
        <f t="shared" si="1"/>
        <v>0</v>
      </c>
    </row>
    <row r="15" spans="1:34">
      <c r="A15" s="45">
        <v>6</v>
      </c>
      <c r="B15" s="45" t="s">
        <v>71</v>
      </c>
      <c r="C15" s="45"/>
      <c r="D15" s="45"/>
      <c r="E15" s="45"/>
      <c r="F15" s="45"/>
      <c r="G15" s="45"/>
      <c r="H15" s="45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35">
        <f t="shared" si="1"/>
        <v>0</v>
      </c>
    </row>
    <row r="16" spans="1:34">
      <c r="A16" s="45">
        <v>7</v>
      </c>
      <c r="B16" s="45" t="s">
        <v>72</v>
      </c>
      <c r="C16" s="45"/>
      <c r="D16" s="45"/>
      <c r="E16" s="45"/>
      <c r="F16" s="45"/>
      <c r="G16" s="45"/>
      <c r="H16" s="45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35">
        <f t="shared" si="1"/>
        <v>0</v>
      </c>
    </row>
    <row r="17" spans="1:34">
      <c r="A17" s="45">
        <v>8</v>
      </c>
      <c r="B17" s="45" t="s">
        <v>73</v>
      </c>
      <c r="C17" s="45"/>
      <c r="D17" s="45"/>
      <c r="E17" s="45"/>
      <c r="F17" s="45"/>
      <c r="G17" s="45"/>
      <c r="H17" s="45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35">
        <f t="shared" si="1"/>
        <v>0</v>
      </c>
    </row>
    <row r="18" spans="1:34">
      <c r="A18" s="45">
        <v>9</v>
      </c>
      <c r="B18" s="45" t="s">
        <v>74</v>
      </c>
      <c r="C18" s="45">
        <v>2</v>
      </c>
      <c r="D18" s="45"/>
      <c r="E18" s="45"/>
      <c r="F18" s="45"/>
      <c r="G18" s="45"/>
      <c r="H18" s="45"/>
      <c r="I18" s="49"/>
      <c r="J18" s="49"/>
      <c r="K18" s="49"/>
      <c r="L18" s="49"/>
      <c r="M18" s="49"/>
      <c r="N18" s="49">
        <v>1</v>
      </c>
      <c r="O18" s="49">
        <v>1</v>
      </c>
      <c r="P18" s="49">
        <v>1</v>
      </c>
      <c r="Q18" s="49"/>
      <c r="R18" s="49"/>
      <c r="S18" s="49"/>
      <c r="T18" s="49">
        <v>2</v>
      </c>
      <c r="U18" s="49"/>
      <c r="V18" s="49"/>
      <c r="W18" s="49">
        <v>2</v>
      </c>
      <c r="X18" s="49"/>
      <c r="Y18" s="49"/>
      <c r="Z18" s="49"/>
      <c r="AA18" s="49"/>
      <c r="AB18" s="49">
        <v>2</v>
      </c>
      <c r="AC18" s="49">
        <v>1</v>
      </c>
      <c r="AD18" s="49"/>
      <c r="AE18" s="49">
        <v>1</v>
      </c>
      <c r="AF18" s="49"/>
      <c r="AG18" s="49"/>
      <c r="AH18" s="35">
        <f t="shared" si="1"/>
        <v>13</v>
      </c>
    </row>
    <row r="19" spans="1:34">
      <c r="A19" s="45">
        <v>10</v>
      </c>
      <c r="B19" s="45" t="s">
        <v>75</v>
      </c>
      <c r="C19" s="45"/>
      <c r="D19" s="45"/>
      <c r="E19" s="45"/>
      <c r="F19" s="45"/>
      <c r="G19" s="45"/>
      <c r="H19" s="45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35">
        <f t="shared" si="1"/>
        <v>0</v>
      </c>
    </row>
    <row r="20" spans="1:34">
      <c r="A20" s="45">
        <v>11</v>
      </c>
      <c r="B20" s="45" t="s">
        <v>59</v>
      </c>
      <c r="C20" s="45"/>
      <c r="D20" s="45"/>
      <c r="E20" s="45"/>
      <c r="F20" s="45"/>
      <c r="G20" s="45"/>
      <c r="H20" s="45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35">
        <f t="shared" si="1"/>
        <v>0</v>
      </c>
    </row>
    <row r="21" spans="1:34">
      <c r="A21" s="80" t="s">
        <v>31</v>
      </c>
      <c r="B21" s="80"/>
      <c r="C21" s="45">
        <f>SUM(C18:C20)</f>
        <v>2</v>
      </c>
      <c r="D21" s="45">
        <f t="shared" ref="D21:AG21" si="4">SUM(D18:D20)</f>
        <v>0</v>
      </c>
      <c r="E21" s="45">
        <f t="shared" si="4"/>
        <v>0</v>
      </c>
      <c r="F21" s="45">
        <f t="shared" si="4"/>
        <v>0</v>
      </c>
      <c r="G21" s="45">
        <f t="shared" si="4"/>
        <v>0</v>
      </c>
      <c r="H21" s="45">
        <f t="shared" si="4"/>
        <v>0</v>
      </c>
      <c r="I21" s="45">
        <f t="shared" si="4"/>
        <v>0</v>
      </c>
      <c r="J21" s="45">
        <f t="shared" si="4"/>
        <v>0</v>
      </c>
      <c r="K21" s="45">
        <f t="shared" si="4"/>
        <v>0</v>
      </c>
      <c r="L21" s="45">
        <f t="shared" si="4"/>
        <v>0</v>
      </c>
      <c r="M21" s="45">
        <f t="shared" si="4"/>
        <v>0</v>
      </c>
      <c r="N21" s="45">
        <f t="shared" si="4"/>
        <v>1</v>
      </c>
      <c r="O21" s="45">
        <f t="shared" si="4"/>
        <v>1</v>
      </c>
      <c r="P21" s="45">
        <f t="shared" si="4"/>
        <v>1</v>
      </c>
      <c r="Q21" s="45">
        <f t="shared" si="4"/>
        <v>0</v>
      </c>
      <c r="R21" s="45">
        <f t="shared" si="4"/>
        <v>0</v>
      </c>
      <c r="S21" s="45">
        <f t="shared" si="4"/>
        <v>0</v>
      </c>
      <c r="T21" s="45">
        <f t="shared" si="4"/>
        <v>2</v>
      </c>
      <c r="U21" s="45">
        <f t="shared" si="4"/>
        <v>0</v>
      </c>
      <c r="V21" s="45">
        <f t="shared" si="4"/>
        <v>0</v>
      </c>
      <c r="W21" s="45">
        <f t="shared" si="4"/>
        <v>2</v>
      </c>
      <c r="X21" s="45">
        <f t="shared" si="4"/>
        <v>0</v>
      </c>
      <c r="Y21" s="45">
        <f t="shared" si="4"/>
        <v>0</v>
      </c>
      <c r="Z21" s="45">
        <f t="shared" si="4"/>
        <v>0</v>
      </c>
      <c r="AA21" s="45">
        <f t="shared" si="4"/>
        <v>0</v>
      </c>
      <c r="AB21" s="45">
        <f t="shared" si="4"/>
        <v>2</v>
      </c>
      <c r="AC21" s="45">
        <f t="shared" si="4"/>
        <v>1</v>
      </c>
      <c r="AD21" s="45">
        <f t="shared" si="4"/>
        <v>0</v>
      </c>
      <c r="AE21" s="45">
        <f t="shared" si="4"/>
        <v>1</v>
      </c>
      <c r="AF21" s="45">
        <f t="shared" si="4"/>
        <v>0</v>
      </c>
      <c r="AG21" s="45">
        <f t="shared" si="4"/>
        <v>0</v>
      </c>
    </row>
    <row r="22" spans="1:34" ht="18">
      <c r="A22" s="49" t="s">
        <v>53</v>
      </c>
      <c r="B22" s="77" t="s">
        <v>76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9"/>
      <c r="AH22" s="35">
        <f t="shared" si="1"/>
        <v>0</v>
      </c>
    </row>
    <row r="23" spans="1:34">
      <c r="A23" s="45">
        <v>12</v>
      </c>
      <c r="B23" s="45" t="s">
        <v>77</v>
      </c>
      <c r="C23" s="45">
        <v>2</v>
      </c>
      <c r="D23" s="45"/>
      <c r="E23" s="45"/>
      <c r="F23" s="45"/>
      <c r="G23" s="45"/>
      <c r="H23" s="45">
        <v>2</v>
      </c>
      <c r="I23" s="49"/>
      <c r="J23" s="49"/>
      <c r="K23" s="49"/>
      <c r="L23" s="49"/>
      <c r="M23" s="49"/>
      <c r="N23" s="49"/>
      <c r="O23" s="49"/>
      <c r="P23" s="49">
        <v>1</v>
      </c>
      <c r="Q23" s="49">
        <v>1</v>
      </c>
      <c r="R23" s="49"/>
      <c r="S23" s="49"/>
      <c r="T23" s="49">
        <v>2</v>
      </c>
      <c r="U23" s="49"/>
      <c r="V23" s="49"/>
      <c r="W23" s="49">
        <v>1</v>
      </c>
      <c r="X23" s="49"/>
      <c r="Y23" s="49">
        <v>1</v>
      </c>
      <c r="Z23" s="49"/>
      <c r="AA23" s="49"/>
      <c r="AB23" s="49">
        <v>1</v>
      </c>
      <c r="AC23" s="49"/>
      <c r="AD23" s="49">
        <v>1</v>
      </c>
      <c r="AE23" s="49">
        <v>2</v>
      </c>
      <c r="AF23" s="49"/>
      <c r="AG23" s="49"/>
      <c r="AH23" s="35">
        <f t="shared" si="1"/>
        <v>14</v>
      </c>
    </row>
    <row r="24" spans="1:34">
      <c r="A24" s="45">
        <v>13</v>
      </c>
      <c r="B24" s="45" t="s">
        <v>78</v>
      </c>
      <c r="C24" s="45"/>
      <c r="D24" s="45"/>
      <c r="E24" s="45"/>
      <c r="F24" s="45"/>
      <c r="G24" s="45"/>
      <c r="H24" s="45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35">
        <f t="shared" si="1"/>
        <v>0</v>
      </c>
    </row>
    <row r="25" spans="1:34">
      <c r="A25" s="45">
        <v>14</v>
      </c>
      <c r="B25" s="45" t="s">
        <v>59</v>
      </c>
      <c r="C25" s="45"/>
      <c r="D25" s="45"/>
      <c r="E25" s="45"/>
      <c r="F25" s="45"/>
      <c r="G25" s="45"/>
      <c r="H25" s="45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35">
        <f t="shared" si="1"/>
        <v>0</v>
      </c>
    </row>
    <row r="26" spans="1:34">
      <c r="A26" s="80" t="s">
        <v>31</v>
      </c>
      <c r="B26" s="80"/>
      <c r="C26" s="45">
        <f>SUM(C23:C25)</f>
        <v>2</v>
      </c>
      <c r="D26" s="45">
        <f t="shared" ref="D26:AF26" si="5">SUM(D23:D25)</f>
        <v>0</v>
      </c>
      <c r="E26" s="45">
        <f t="shared" si="5"/>
        <v>0</v>
      </c>
      <c r="F26" s="45">
        <f t="shared" si="5"/>
        <v>0</v>
      </c>
      <c r="G26" s="45">
        <f t="shared" si="5"/>
        <v>0</v>
      </c>
      <c r="H26" s="45">
        <f t="shared" si="5"/>
        <v>2</v>
      </c>
      <c r="I26" s="45">
        <f t="shared" si="5"/>
        <v>0</v>
      </c>
      <c r="J26" s="45">
        <f t="shared" si="5"/>
        <v>0</v>
      </c>
      <c r="K26" s="45">
        <f t="shared" si="5"/>
        <v>0</v>
      </c>
      <c r="L26" s="45">
        <f t="shared" si="5"/>
        <v>0</v>
      </c>
      <c r="M26" s="45">
        <f t="shared" si="5"/>
        <v>0</v>
      </c>
      <c r="N26" s="45">
        <f t="shared" si="5"/>
        <v>0</v>
      </c>
      <c r="O26" s="45">
        <f t="shared" si="5"/>
        <v>0</v>
      </c>
      <c r="P26" s="45">
        <f t="shared" si="5"/>
        <v>1</v>
      </c>
      <c r="Q26" s="45">
        <f t="shared" si="5"/>
        <v>1</v>
      </c>
      <c r="R26" s="45">
        <f t="shared" si="5"/>
        <v>0</v>
      </c>
      <c r="S26" s="45">
        <f t="shared" si="5"/>
        <v>0</v>
      </c>
      <c r="T26" s="45">
        <f t="shared" si="5"/>
        <v>2</v>
      </c>
      <c r="U26" s="45">
        <f t="shared" si="5"/>
        <v>0</v>
      </c>
      <c r="V26" s="45">
        <f t="shared" si="5"/>
        <v>0</v>
      </c>
      <c r="W26" s="45">
        <f t="shared" si="5"/>
        <v>1</v>
      </c>
      <c r="X26" s="45">
        <f t="shared" si="5"/>
        <v>0</v>
      </c>
      <c r="Y26" s="45">
        <f t="shared" si="5"/>
        <v>1</v>
      </c>
      <c r="Z26" s="45">
        <f t="shared" si="5"/>
        <v>0</v>
      </c>
      <c r="AA26" s="45">
        <f t="shared" si="5"/>
        <v>0</v>
      </c>
      <c r="AB26" s="45">
        <f t="shared" si="5"/>
        <v>1</v>
      </c>
      <c r="AC26" s="45">
        <f t="shared" si="5"/>
        <v>0</v>
      </c>
      <c r="AD26" s="45">
        <f t="shared" si="5"/>
        <v>1</v>
      </c>
      <c r="AE26" s="45">
        <f t="shared" si="5"/>
        <v>2</v>
      </c>
      <c r="AF26" s="45">
        <f t="shared" si="5"/>
        <v>0</v>
      </c>
      <c r="AG26" s="45">
        <f t="shared" ref="AG26" si="6">SUM(AG23:AG25)</f>
        <v>0</v>
      </c>
    </row>
    <row r="27" spans="1:34" ht="18">
      <c r="A27" s="49" t="s">
        <v>55</v>
      </c>
      <c r="B27" s="77" t="s">
        <v>79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9"/>
      <c r="AH27" s="35">
        <f t="shared" si="1"/>
        <v>0</v>
      </c>
    </row>
    <row r="28" spans="1:34">
      <c r="A28" s="45">
        <v>15</v>
      </c>
      <c r="B28" s="45" t="s">
        <v>80</v>
      </c>
      <c r="C28" s="45"/>
      <c r="D28" s="45"/>
      <c r="E28" s="45"/>
      <c r="F28" s="45"/>
      <c r="G28" s="45"/>
      <c r="H28" s="45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35">
        <f t="shared" si="1"/>
        <v>0</v>
      </c>
    </row>
    <row r="29" spans="1:34">
      <c r="A29" s="45">
        <v>16</v>
      </c>
      <c r="B29" s="45" t="s">
        <v>81</v>
      </c>
      <c r="C29" s="45"/>
      <c r="D29" s="45"/>
      <c r="E29" s="45"/>
      <c r="F29" s="45"/>
      <c r="G29" s="45"/>
      <c r="H29" s="45"/>
      <c r="I29" s="49"/>
      <c r="J29" s="49"/>
      <c r="K29" s="49"/>
      <c r="L29" s="49"/>
      <c r="M29" s="49"/>
      <c r="N29" s="49"/>
      <c r="O29" s="49">
        <v>2</v>
      </c>
      <c r="P29" s="49">
        <v>1</v>
      </c>
      <c r="Q29" s="49">
        <v>1</v>
      </c>
      <c r="R29" s="49"/>
      <c r="S29" s="49"/>
      <c r="T29" s="49">
        <v>1</v>
      </c>
      <c r="U29" s="49"/>
      <c r="V29" s="49">
        <v>1</v>
      </c>
      <c r="W29" s="49">
        <v>2</v>
      </c>
      <c r="X29" s="49">
        <v>2</v>
      </c>
      <c r="Y29" s="49"/>
      <c r="Z29" s="49"/>
      <c r="AA29" s="49">
        <v>1</v>
      </c>
      <c r="AB29" s="49"/>
      <c r="AC29" s="49">
        <v>2</v>
      </c>
      <c r="AD29" s="49"/>
      <c r="AE29" s="49"/>
      <c r="AF29" s="49"/>
      <c r="AG29" s="49"/>
      <c r="AH29" s="35">
        <f t="shared" si="1"/>
        <v>13</v>
      </c>
    </row>
    <row r="30" spans="1:34">
      <c r="A30" s="45">
        <v>17</v>
      </c>
      <c r="B30" s="45" t="s">
        <v>82</v>
      </c>
      <c r="C30" s="45"/>
      <c r="D30" s="45"/>
      <c r="E30" s="45"/>
      <c r="F30" s="45"/>
      <c r="G30" s="45"/>
      <c r="H30" s="45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35">
        <f t="shared" si="1"/>
        <v>0</v>
      </c>
    </row>
    <row r="31" spans="1:34">
      <c r="A31" s="45">
        <v>18</v>
      </c>
      <c r="B31" s="45" t="s">
        <v>59</v>
      </c>
      <c r="C31" s="45"/>
      <c r="D31" s="45"/>
      <c r="E31" s="45"/>
      <c r="F31" s="45"/>
      <c r="G31" s="45"/>
      <c r="H31" s="4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35">
        <f t="shared" si="1"/>
        <v>0</v>
      </c>
    </row>
    <row r="32" spans="1:34">
      <c r="A32" s="80" t="s">
        <v>31</v>
      </c>
      <c r="B32" s="80"/>
      <c r="C32" s="45">
        <f>SUM(C28:C31)</f>
        <v>0</v>
      </c>
      <c r="D32" s="45">
        <f t="shared" ref="D32:AF32" si="7">SUM(D28:D31)</f>
        <v>0</v>
      </c>
      <c r="E32" s="45">
        <f t="shared" si="7"/>
        <v>0</v>
      </c>
      <c r="F32" s="45">
        <f t="shared" si="7"/>
        <v>0</v>
      </c>
      <c r="G32" s="45">
        <f t="shared" si="7"/>
        <v>0</v>
      </c>
      <c r="H32" s="45">
        <f t="shared" si="7"/>
        <v>0</v>
      </c>
      <c r="I32" s="45">
        <f t="shared" si="7"/>
        <v>0</v>
      </c>
      <c r="J32" s="45">
        <f t="shared" si="7"/>
        <v>0</v>
      </c>
      <c r="K32" s="45">
        <f t="shared" si="7"/>
        <v>0</v>
      </c>
      <c r="L32" s="45">
        <f t="shared" si="7"/>
        <v>0</v>
      </c>
      <c r="M32" s="45">
        <f t="shared" si="7"/>
        <v>0</v>
      </c>
      <c r="N32" s="45">
        <f t="shared" si="7"/>
        <v>0</v>
      </c>
      <c r="O32" s="45">
        <f t="shared" si="7"/>
        <v>2</v>
      </c>
      <c r="P32" s="45">
        <f t="shared" si="7"/>
        <v>1</v>
      </c>
      <c r="Q32" s="45">
        <f t="shared" si="7"/>
        <v>1</v>
      </c>
      <c r="R32" s="45">
        <f t="shared" si="7"/>
        <v>0</v>
      </c>
      <c r="S32" s="45">
        <f t="shared" si="7"/>
        <v>0</v>
      </c>
      <c r="T32" s="45">
        <f t="shared" si="7"/>
        <v>1</v>
      </c>
      <c r="U32" s="45">
        <f t="shared" si="7"/>
        <v>0</v>
      </c>
      <c r="V32" s="45">
        <f t="shared" si="7"/>
        <v>1</v>
      </c>
      <c r="W32" s="45">
        <f t="shared" si="7"/>
        <v>2</v>
      </c>
      <c r="X32" s="45">
        <f t="shared" si="7"/>
        <v>2</v>
      </c>
      <c r="Y32" s="45">
        <f t="shared" si="7"/>
        <v>0</v>
      </c>
      <c r="Z32" s="45">
        <f t="shared" si="7"/>
        <v>0</v>
      </c>
      <c r="AA32" s="45">
        <f t="shared" si="7"/>
        <v>1</v>
      </c>
      <c r="AB32" s="45">
        <f t="shared" si="7"/>
        <v>0</v>
      </c>
      <c r="AC32" s="45">
        <f t="shared" si="7"/>
        <v>2</v>
      </c>
      <c r="AD32" s="45">
        <f t="shared" si="7"/>
        <v>0</v>
      </c>
      <c r="AE32" s="45">
        <f t="shared" si="7"/>
        <v>0</v>
      </c>
      <c r="AF32" s="45">
        <f t="shared" si="7"/>
        <v>0</v>
      </c>
      <c r="AG32" s="45">
        <f t="shared" ref="AG32" si="8">SUM(AG28:AG31)</f>
        <v>0</v>
      </c>
    </row>
    <row r="33" spans="1:34" ht="18">
      <c r="A33" s="49" t="s">
        <v>11</v>
      </c>
      <c r="B33" s="77" t="s">
        <v>83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9"/>
      <c r="AH33" s="35">
        <f t="shared" si="1"/>
        <v>0</v>
      </c>
    </row>
    <row r="34" spans="1:34">
      <c r="A34" s="45">
        <v>19</v>
      </c>
      <c r="B34" s="45" t="s">
        <v>84</v>
      </c>
      <c r="C34" s="45"/>
      <c r="D34" s="45"/>
      <c r="E34" s="45"/>
      <c r="F34" s="45"/>
      <c r="G34" s="45"/>
      <c r="H34" s="45">
        <v>2</v>
      </c>
      <c r="I34" s="49"/>
      <c r="J34" s="49"/>
      <c r="K34" s="49"/>
      <c r="L34" s="49"/>
      <c r="M34" s="49"/>
      <c r="N34" s="49">
        <v>2</v>
      </c>
      <c r="O34" s="49">
        <v>2</v>
      </c>
      <c r="P34" s="49"/>
      <c r="Q34" s="49">
        <v>2</v>
      </c>
      <c r="R34" s="49"/>
      <c r="S34" s="49"/>
      <c r="T34" s="49">
        <v>2</v>
      </c>
      <c r="U34" s="49">
        <v>1</v>
      </c>
      <c r="V34" s="49">
        <v>1</v>
      </c>
      <c r="W34" s="49">
        <v>1</v>
      </c>
      <c r="X34" s="49">
        <v>2</v>
      </c>
      <c r="Y34" s="49"/>
      <c r="Z34" s="49"/>
      <c r="AA34" s="49"/>
      <c r="AB34" s="49">
        <v>2</v>
      </c>
      <c r="AC34" s="49">
        <v>2</v>
      </c>
      <c r="AD34" s="49"/>
      <c r="AE34" s="49">
        <v>2</v>
      </c>
      <c r="AF34" s="49"/>
      <c r="AG34" s="49"/>
      <c r="AH34" s="35">
        <f t="shared" si="1"/>
        <v>21</v>
      </c>
    </row>
    <row r="35" spans="1:34">
      <c r="A35" s="45">
        <v>20</v>
      </c>
      <c r="B35" s="45" t="s">
        <v>85</v>
      </c>
      <c r="C35" s="45"/>
      <c r="D35" s="45"/>
      <c r="E35" s="45"/>
      <c r="F35" s="45"/>
      <c r="G35" s="45"/>
      <c r="H35" s="45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35">
        <f t="shared" si="1"/>
        <v>0</v>
      </c>
    </row>
    <row r="36" spans="1:34">
      <c r="A36" s="45">
        <v>21</v>
      </c>
      <c r="B36" s="45" t="s">
        <v>86</v>
      </c>
      <c r="C36" s="45"/>
      <c r="D36" s="45"/>
      <c r="E36" s="45"/>
      <c r="F36" s="45"/>
      <c r="G36" s="45"/>
      <c r="H36" s="45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35">
        <f t="shared" si="1"/>
        <v>0</v>
      </c>
    </row>
    <row r="37" spans="1:34">
      <c r="A37" s="45">
        <v>22</v>
      </c>
      <c r="B37" s="45" t="s">
        <v>59</v>
      </c>
      <c r="C37" s="45"/>
      <c r="D37" s="45"/>
      <c r="E37" s="45"/>
      <c r="F37" s="45"/>
      <c r="G37" s="45"/>
      <c r="H37" s="45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35">
        <f t="shared" si="1"/>
        <v>0</v>
      </c>
    </row>
    <row r="38" spans="1:34">
      <c r="A38" s="80" t="s">
        <v>31</v>
      </c>
      <c r="B38" s="80"/>
      <c r="C38" s="45">
        <f>SUM(C34:C37)</f>
        <v>0</v>
      </c>
      <c r="D38" s="45">
        <f t="shared" ref="D38:AF38" si="9">SUM(D34:D37)</f>
        <v>0</v>
      </c>
      <c r="E38" s="45">
        <f t="shared" si="9"/>
        <v>0</v>
      </c>
      <c r="F38" s="45">
        <f t="shared" si="9"/>
        <v>0</v>
      </c>
      <c r="G38" s="45">
        <f t="shared" si="9"/>
        <v>0</v>
      </c>
      <c r="H38" s="45">
        <f t="shared" si="9"/>
        <v>2</v>
      </c>
      <c r="I38" s="45">
        <f t="shared" si="9"/>
        <v>0</v>
      </c>
      <c r="J38" s="45">
        <f t="shared" si="9"/>
        <v>0</v>
      </c>
      <c r="K38" s="45">
        <f t="shared" si="9"/>
        <v>0</v>
      </c>
      <c r="L38" s="45">
        <f t="shared" si="9"/>
        <v>0</v>
      </c>
      <c r="M38" s="45">
        <f t="shared" si="9"/>
        <v>0</v>
      </c>
      <c r="N38" s="45">
        <f t="shared" si="9"/>
        <v>2</v>
      </c>
      <c r="O38" s="45">
        <f t="shared" si="9"/>
        <v>2</v>
      </c>
      <c r="P38" s="45">
        <f t="shared" si="9"/>
        <v>0</v>
      </c>
      <c r="Q38" s="45">
        <f t="shared" si="9"/>
        <v>2</v>
      </c>
      <c r="R38" s="45">
        <f t="shared" si="9"/>
        <v>0</v>
      </c>
      <c r="S38" s="45">
        <f t="shared" si="9"/>
        <v>0</v>
      </c>
      <c r="T38" s="45">
        <f t="shared" si="9"/>
        <v>2</v>
      </c>
      <c r="U38" s="45">
        <f t="shared" si="9"/>
        <v>1</v>
      </c>
      <c r="V38" s="45">
        <f t="shared" si="9"/>
        <v>1</v>
      </c>
      <c r="W38" s="45">
        <f t="shared" si="9"/>
        <v>1</v>
      </c>
      <c r="X38" s="45">
        <f t="shared" si="9"/>
        <v>2</v>
      </c>
      <c r="Y38" s="45">
        <f t="shared" si="9"/>
        <v>0</v>
      </c>
      <c r="Z38" s="45">
        <f t="shared" si="9"/>
        <v>0</v>
      </c>
      <c r="AA38" s="45">
        <f t="shared" si="9"/>
        <v>0</v>
      </c>
      <c r="AB38" s="45">
        <f t="shared" si="9"/>
        <v>2</v>
      </c>
      <c r="AC38" s="45">
        <f t="shared" si="9"/>
        <v>2</v>
      </c>
      <c r="AD38" s="45">
        <f t="shared" si="9"/>
        <v>0</v>
      </c>
      <c r="AE38" s="45">
        <f t="shared" si="9"/>
        <v>2</v>
      </c>
      <c r="AF38" s="45">
        <f t="shared" si="9"/>
        <v>0</v>
      </c>
      <c r="AG38" s="45">
        <f t="shared" ref="AG38" si="10">SUM(AG34:AG37)</f>
        <v>0</v>
      </c>
    </row>
    <row r="39" spans="1:34" ht="18">
      <c r="A39" s="49" t="s">
        <v>56</v>
      </c>
      <c r="B39" s="77" t="s">
        <v>87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9"/>
      <c r="AH39" s="35">
        <f t="shared" si="1"/>
        <v>0</v>
      </c>
    </row>
    <row r="40" spans="1:34">
      <c r="A40" s="45">
        <v>23</v>
      </c>
      <c r="B40" s="45" t="s">
        <v>88</v>
      </c>
      <c r="C40" s="45"/>
      <c r="D40" s="45"/>
      <c r="E40" s="45"/>
      <c r="F40" s="45"/>
      <c r="G40" s="45"/>
      <c r="H40" s="45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51"/>
      <c r="AH40" s="35">
        <f t="shared" si="1"/>
        <v>0</v>
      </c>
    </row>
    <row r="41" spans="1:34">
      <c r="A41" s="45">
        <v>24</v>
      </c>
      <c r="B41" s="45" t="s">
        <v>89</v>
      </c>
      <c r="C41" s="45"/>
      <c r="D41" s="45"/>
      <c r="E41" s="45"/>
      <c r="F41" s="45"/>
      <c r="G41" s="45"/>
      <c r="H41" s="45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51"/>
      <c r="AH41" s="35">
        <f t="shared" si="1"/>
        <v>0</v>
      </c>
    </row>
    <row r="42" spans="1:34" ht="27.6">
      <c r="A42" s="45">
        <v>25</v>
      </c>
      <c r="B42" s="46" t="s">
        <v>90</v>
      </c>
      <c r="C42" s="45"/>
      <c r="D42" s="45"/>
      <c r="E42" s="45"/>
      <c r="F42" s="45"/>
      <c r="G42" s="45"/>
      <c r="H42" s="45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1"/>
      <c r="AH42" s="35">
        <f t="shared" si="1"/>
        <v>0</v>
      </c>
    </row>
    <row r="43" spans="1:34">
      <c r="A43" s="45">
        <v>26</v>
      </c>
      <c r="B43" s="45" t="s">
        <v>91</v>
      </c>
      <c r="C43" s="45"/>
      <c r="D43" s="45"/>
      <c r="E43" s="45"/>
      <c r="F43" s="45"/>
      <c r="G43" s="45"/>
      <c r="H43" s="45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1"/>
      <c r="AH43" s="35">
        <f t="shared" si="1"/>
        <v>0</v>
      </c>
    </row>
    <row r="44" spans="1:34">
      <c r="A44" s="45">
        <v>27</v>
      </c>
      <c r="B44" s="45" t="s">
        <v>92</v>
      </c>
      <c r="C44" s="45"/>
      <c r="D44" s="45"/>
      <c r="E44" s="45"/>
      <c r="F44" s="45"/>
      <c r="G44" s="45"/>
      <c r="H44" s="45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1"/>
      <c r="AH44" s="35">
        <f t="shared" si="1"/>
        <v>0</v>
      </c>
    </row>
    <row r="45" spans="1:34">
      <c r="A45" s="45">
        <v>28</v>
      </c>
      <c r="B45" s="45" t="s">
        <v>93</v>
      </c>
      <c r="C45" s="45"/>
      <c r="D45" s="45"/>
      <c r="E45" s="45"/>
      <c r="F45" s="45"/>
      <c r="G45" s="45"/>
      <c r="H45" s="45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1"/>
      <c r="AH45" s="35">
        <f t="shared" si="1"/>
        <v>0</v>
      </c>
    </row>
    <row r="46" spans="1:34">
      <c r="A46" s="45">
        <v>29</v>
      </c>
      <c r="B46" s="45" t="s">
        <v>59</v>
      </c>
      <c r="C46" s="45"/>
      <c r="D46" s="45"/>
      <c r="E46" s="45"/>
      <c r="F46" s="45"/>
      <c r="G46" s="45"/>
      <c r="H46" s="45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1"/>
      <c r="AH46" s="35">
        <f t="shared" si="1"/>
        <v>0</v>
      </c>
    </row>
    <row r="47" spans="1:34">
      <c r="A47" s="80" t="s">
        <v>31</v>
      </c>
      <c r="B47" s="80"/>
      <c r="C47" s="45">
        <f>SUM(C40:C46)</f>
        <v>0</v>
      </c>
      <c r="D47" s="45">
        <f t="shared" ref="D47:AF47" si="11">SUM(D40:D46)</f>
        <v>0</v>
      </c>
      <c r="E47" s="45">
        <f t="shared" si="11"/>
        <v>0</v>
      </c>
      <c r="F47" s="45">
        <f t="shared" si="11"/>
        <v>0</v>
      </c>
      <c r="G47" s="45">
        <f t="shared" si="11"/>
        <v>0</v>
      </c>
      <c r="H47" s="45">
        <f t="shared" si="11"/>
        <v>0</v>
      </c>
      <c r="I47" s="45">
        <f t="shared" si="11"/>
        <v>0</v>
      </c>
      <c r="J47" s="45">
        <f t="shared" si="11"/>
        <v>0</v>
      </c>
      <c r="K47" s="45">
        <f t="shared" si="11"/>
        <v>0</v>
      </c>
      <c r="L47" s="45">
        <f t="shared" si="11"/>
        <v>0</v>
      </c>
      <c r="M47" s="45">
        <f t="shared" si="11"/>
        <v>0</v>
      </c>
      <c r="N47" s="45">
        <f t="shared" si="11"/>
        <v>0</v>
      </c>
      <c r="O47" s="45">
        <f t="shared" si="11"/>
        <v>0</v>
      </c>
      <c r="P47" s="45">
        <f t="shared" si="11"/>
        <v>0</v>
      </c>
      <c r="Q47" s="45">
        <f t="shared" si="11"/>
        <v>0</v>
      </c>
      <c r="R47" s="45">
        <f t="shared" si="11"/>
        <v>0</v>
      </c>
      <c r="S47" s="45">
        <f t="shared" si="11"/>
        <v>0</v>
      </c>
      <c r="T47" s="45">
        <f t="shared" si="11"/>
        <v>0</v>
      </c>
      <c r="U47" s="45">
        <f t="shared" si="11"/>
        <v>0</v>
      </c>
      <c r="V47" s="45">
        <f t="shared" si="11"/>
        <v>0</v>
      </c>
      <c r="W47" s="45">
        <f t="shared" si="11"/>
        <v>0</v>
      </c>
      <c r="X47" s="45">
        <f t="shared" si="11"/>
        <v>0</v>
      </c>
      <c r="Y47" s="45">
        <f t="shared" si="11"/>
        <v>0</v>
      </c>
      <c r="Z47" s="45">
        <f t="shared" si="11"/>
        <v>0</v>
      </c>
      <c r="AA47" s="45">
        <f t="shared" si="11"/>
        <v>0</v>
      </c>
      <c r="AB47" s="45">
        <f t="shared" si="11"/>
        <v>0</v>
      </c>
      <c r="AC47" s="45">
        <f t="shared" si="11"/>
        <v>0</v>
      </c>
      <c r="AD47" s="45">
        <f t="shared" si="11"/>
        <v>0</v>
      </c>
      <c r="AE47" s="45">
        <f t="shared" si="11"/>
        <v>0</v>
      </c>
      <c r="AF47" s="45">
        <f t="shared" si="11"/>
        <v>0</v>
      </c>
      <c r="AG47" s="51"/>
      <c r="AH47" s="35">
        <f t="shared" si="1"/>
        <v>0</v>
      </c>
    </row>
    <row r="48" spans="1:34" ht="18">
      <c r="A48" s="49" t="s">
        <v>57</v>
      </c>
      <c r="B48" s="77" t="s">
        <v>94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9"/>
    </row>
    <row r="49" spans="1:34">
      <c r="A49" s="45">
        <v>30</v>
      </c>
      <c r="B49" s="45" t="s">
        <v>95</v>
      </c>
      <c r="C49" s="45"/>
      <c r="D49" s="45"/>
      <c r="E49" s="45"/>
      <c r="F49" s="45"/>
      <c r="G49" s="45"/>
      <c r="H49" s="45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35">
        <f t="shared" si="1"/>
        <v>0</v>
      </c>
    </row>
    <row r="50" spans="1:34">
      <c r="A50" s="45">
        <v>31</v>
      </c>
      <c r="B50" s="45" t="s">
        <v>96</v>
      </c>
      <c r="C50" s="45"/>
      <c r="D50" s="45"/>
      <c r="E50" s="45"/>
      <c r="F50" s="45"/>
      <c r="G50" s="45"/>
      <c r="H50" s="45"/>
      <c r="I50" s="49"/>
      <c r="J50" s="49"/>
      <c r="K50" s="49"/>
      <c r="L50" s="49"/>
      <c r="M50" s="49"/>
      <c r="N50" s="49"/>
      <c r="O50" s="49"/>
      <c r="P50" s="49"/>
      <c r="Q50" s="49"/>
      <c r="R50" s="49">
        <v>1</v>
      </c>
      <c r="S50" s="49"/>
      <c r="T50" s="49"/>
      <c r="U50" s="49"/>
      <c r="V50" s="49">
        <v>1</v>
      </c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35">
        <f t="shared" si="1"/>
        <v>2</v>
      </c>
    </row>
    <row r="51" spans="1:34">
      <c r="A51" s="45">
        <v>32</v>
      </c>
      <c r="B51" s="46" t="s">
        <v>97</v>
      </c>
      <c r="C51" s="45"/>
      <c r="D51" s="45"/>
      <c r="E51" s="45"/>
      <c r="F51" s="45"/>
      <c r="G51" s="45"/>
      <c r="H51" s="45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>
        <v>1</v>
      </c>
      <c r="Y51" s="49"/>
      <c r="Z51" s="49"/>
      <c r="AA51" s="49"/>
      <c r="AB51" s="49"/>
      <c r="AC51" s="49"/>
      <c r="AD51" s="49"/>
      <c r="AE51" s="49"/>
      <c r="AF51" s="49"/>
      <c r="AG51" s="49"/>
      <c r="AH51" s="35">
        <f t="shared" si="1"/>
        <v>1</v>
      </c>
    </row>
    <row r="52" spans="1:34">
      <c r="A52" s="45">
        <v>33</v>
      </c>
      <c r="B52" s="45" t="s">
        <v>98</v>
      </c>
      <c r="C52" s="45"/>
      <c r="D52" s="45"/>
      <c r="E52" s="45"/>
      <c r="F52" s="45"/>
      <c r="G52" s="45"/>
      <c r="H52" s="45">
        <v>1</v>
      </c>
      <c r="I52" s="49"/>
      <c r="J52" s="49"/>
      <c r="K52" s="49"/>
      <c r="L52" s="49"/>
      <c r="M52" s="49"/>
      <c r="N52" s="49">
        <v>1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35">
        <f t="shared" si="1"/>
        <v>2</v>
      </c>
    </row>
    <row r="53" spans="1:34">
      <c r="A53" s="45">
        <v>34</v>
      </c>
      <c r="B53" s="45" t="s">
        <v>99</v>
      </c>
      <c r="C53" s="45"/>
      <c r="D53" s="45"/>
      <c r="E53" s="45"/>
      <c r="F53" s="45"/>
      <c r="G53" s="45"/>
      <c r="H53" s="45"/>
      <c r="I53" s="49"/>
      <c r="J53" s="49"/>
      <c r="K53" s="49"/>
      <c r="L53" s="49"/>
      <c r="M53" s="49"/>
      <c r="N53" s="49"/>
      <c r="O53" s="49"/>
      <c r="P53" s="49"/>
      <c r="Q53" s="49"/>
      <c r="R53" s="49">
        <v>1</v>
      </c>
      <c r="S53" s="49"/>
      <c r="T53" s="49"/>
      <c r="U53" s="49"/>
      <c r="V53" s="49">
        <v>1</v>
      </c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35">
        <f t="shared" si="1"/>
        <v>2</v>
      </c>
    </row>
    <row r="54" spans="1:34">
      <c r="A54" s="45">
        <v>35</v>
      </c>
      <c r="B54" s="45" t="s">
        <v>100</v>
      </c>
      <c r="C54" s="45"/>
      <c r="D54" s="45"/>
      <c r="E54" s="45"/>
      <c r="F54" s="45"/>
      <c r="G54" s="45"/>
      <c r="H54" s="45"/>
      <c r="I54" s="49"/>
      <c r="J54" s="49"/>
      <c r="K54" s="49"/>
      <c r="L54" s="49"/>
      <c r="M54" s="49"/>
      <c r="N54" s="49">
        <v>1</v>
      </c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35">
        <f t="shared" si="1"/>
        <v>1</v>
      </c>
    </row>
    <row r="55" spans="1:34">
      <c r="A55" s="45">
        <v>36</v>
      </c>
      <c r="B55" s="45" t="s">
        <v>101</v>
      </c>
      <c r="C55" s="45"/>
      <c r="D55" s="45"/>
      <c r="E55" s="45"/>
      <c r="F55" s="45"/>
      <c r="G55" s="45"/>
      <c r="H55" s="45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35">
        <f t="shared" si="1"/>
        <v>0</v>
      </c>
    </row>
    <row r="56" spans="1:34">
      <c r="A56" s="45">
        <v>37</v>
      </c>
      <c r="B56" s="45" t="s">
        <v>59</v>
      </c>
      <c r="C56" s="45"/>
      <c r="D56" s="45"/>
      <c r="E56" s="45"/>
      <c r="F56" s="45"/>
      <c r="G56" s="45"/>
      <c r="H56" s="45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35">
        <f t="shared" si="1"/>
        <v>0</v>
      </c>
    </row>
    <row r="57" spans="1:34">
      <c r="A57" s="80" t="s">
        <v>31</v>
      </c>
      <c r="B57" s="80"/>
      <c r="C57" s="45">
        <f>SUM(C49:C56)</f>
        <v>0</v>
      </c>
      <c r="D57" s="45">
        <f t="shared" ref="D57:AF57" si="12">SUM(D49:D56)</f>
        <v>0</v>
      </c>
      <c r="E57" s="45">
        <f t="shared" si="12"/>
        <v>0</v>
      </c>
      <c r="F57" s="45">
        <f t="shared" si="12"/>
        <v>0</v>
      </c>
      <c r="G57" s="45">
        <f t="shared" si="12"/>
        <v>0</v>
      </c>
      <c r="H57" s="45">
        <f t="shared" si="12"/>
        <v>1</v>
      </c>
      <c r="I57" s="45">
        <f t="shared" si="12"/>
        <v>0</v>
      </c>
      <c r="J57" s="45">
        <f t="shared" si="12"/>
        <v>0</v>
      </c>
      <c r="K57" s="45">
        <f t="shared" si="12"/>
        <v>0</v>
      </c>
      <c r="L57" s="45">
        <f t="shared" si="12"/>
        <v>0</v>
      </c>
      <c r="M57" s="45">
        <f t="shared" si="12"/>
        <v>0</v>
      </c>
      <c r="N57" s="45">
        <f t="shared" si="12"/>
        <v>2</v>
      </c>
      <c r="O57" s="45">
        <f t="shared" si="12"/>
        <v>0</v>
      </c>
      <c r="P57" s="45">
        <f t="shared" si="12"/>
        <v>0</v>
      </c>
      <c r="Q57" s="45">
        <f t="shared" si="12"/>
        <v>0</v>
      </c>
      <c r="R57" s="45">
        <f t="shared" si="12"/>
        <v>2</v>
      </c>
      <c r="S57" s="45">
        <f t="shared" si="12"/>
        <v>0</v>
      </c>
      <c r="T57" s="45">
        <f t="shared" si="12"/>
        <v>0</v>
      </c>
      <c r="U57" s="45">
        <f t="shared" si="12"/>
        <v>0</v>
      </c>
      <c r="V57" s="45">
        <f t="shared" si="12"/>
        <v>2</v>
      </c>
      <c r="W57" s="45">
        <f t="shared" si="12"/>
        <v>0</v>
      </c>
      <c r="X57" s="45">
        <f t="shared" si="12"/>
        <v>1</v>
      </c>
      <c r="Y57" s="45">
        <f t="shared" si="12"/>
        <v>0</v>
      </c>
      <c r="Z57" s="45">
        <f t="shared" si="12"/>
        <v>0</v>
      </c>
      <c r="AA57" s="45">
        <f t="shared" si="12"/>
        <v>0</v>
      </c>
      <c r="AB57" s="45">
        <f t="shared" si="12"/>
        <v>0</v>
      </c>
      <c r="AC57" s="45">
        <f t="shared" si="12"/>
        <v>0</v>
      </c>
      <c r="AD57" s="45">
        <f t="shared" si="12"/>
        <v>0</v>
      </c>
      <c r="AE57" s="45">
        <f t="shared" si="12"/>
        <v>0</v>
      </c>
      <c r="AF57" s="45">
        <f t="shared" si="12"/>
        <v>0</v>
      </c>
      <c r="AG57" s="45">
        <f t="shared" ref="AG57" si="13">SUM(AG49:AG56)</f>
        <v>0</v>
      </c>
    </row>
    <row r="58" spans="1:34" ht="18">
      <c r="A58" s="49" t="s">
        <v>58</v>
      </c>
      <c r="B58" s="77" t="s">
        <v>59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9"/>
      <c r="AH58" s="35">
        <f t="shared" si="1"/>
        <v>0</v>
      </c>
    </row>
    <row r="59" spans="1:34">
      <c r="A59" s="45">
        <v>38</v>
      </c>
      <c r="B59" s="45" t="s">
        <v>102</v>
      </c>
      <c r="C59" s="45"/>
      <c r="D59" s="45"/>
      <c r="E59" s="45"/>
      <c r="F59" s="45"/>
      <c r="G59" s="45"/>
      <c r="H59" s="45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35">
        <f t="shared" si="1"/>
        <v>0</v>
      </c>
    </row>
    <row r="60" spans="1:34">
      <c r="A60" s="45">
        <v>39</v>
      </c>
      <c r="B60" s="45" t="s">
        <v>103</v>
      </c>
      <c r="C60" s="45"/>
      <c r="D60" s="45"/>
      <c r="E60" s="45"/>
      <c r="F60" s="45"/>
      <c r="G60" s="45"/>
      <c r="H60" s="45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35">
        <f t="shared" si="1"/>
        <v>0</v>
      </c>
    </row>
    <row r="61" spans="1:34">
      <c r="A61" s="45">
        <v>40</v>
      </c>
      <c r="B61" s="45" t="s">
        <v>104</v>
      </c>
      <c r="C61" s="45"/>
      <c r="D61" s="45"/>
      <c r="E61" s="45"/>
      <c r="F61" s="45"/>
      <c r="G61" s="45"/>
      <c r="H61" s="45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35">
        <f t="shared" si="1"/>
        <v>0</v>
      </c>
    </row>
    <row r="62" spans="1:34">
      <c r="A62" s="45">
        <v>41</v>
      </c>
      <c r="B62" s="45" t="s">
        <v>105</v>
      </c>
      <c r="C62" s="45"/>
      <c r="D62" s="45"/>
      <c r="E62" s="45"/>
      <c r="F62" s="45"/>
      <c r="G62" s="45"/>
      <c r="H62" s="45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35">
        <f t="shared" si="1"/>
        <v>0</v>
      </c>
    </row>
    <row r="63" spans="1:34">
      <c r="A63" s="45">
        <v>42</v>
      </c>
      <c r="B63" s="45" t="s">
        <v>106</v>
      </c>
      <c r="C63" s="45"/>
      <c r="D63" s="45"/>
      <c r="E63" s="45"/>
      <c r="F63" s="45"/>
      <c r="G63" s="45"/>
      <c r="H63" s="45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35">
        <f t="shared" si="1"/>
        <v>0</v>
      </c>
    </row>
    <row r="64" spans="1:34">
      <c r="A64" s="45">
        <v>43</v>
      </c>
      <c r="B64" s="45" t="s">
        <v>107</v>
      </c>
      <c r="C64" s="45"/>
      <c r="D64" s="45"/>
      <c r="E64" s="45"/>
      <c r="F64" s="45"/>
      <c r="G64" s="45"/>
      <c r="H64" s="45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35">
        <f t="shared" si="1"/>
        <v>0</v>
      </c>
    </row>
    <row r="65" spans="1:40">
      <c r="A65" s="45">
        <v>44</v>
      </c>
      <c r="B65" s="45" t="s">
        <v>108</v>
      </c>
      <c r="C65" s="45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35">
        <f t="shared" si="1"/>
        <v>0</v>
      </c>
    </row>
    <row r="66" spans="1:40">
      <c r="A66" s="45">
        <v>45</v>
      </c>
      <c r="B66" s="45" t="s">
        <v>109</v>
      </c>
      <c r="C66" s="45"/>
      <c r="D66" s="45"/>
      <c r="E66" s="45"/>
      <c r="F66" s="45"/>
      <c r="G66" s="45"/>
      <c r="H66" s="45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35">
        <f t="shared" si="1"/>
        <v>0</v>
      </c>
    </row>
    <row r="67" spans="1:40">
      <c r="A67" s="45">
        <v>46</v>
      </c>
      <c r="B67" s="45" t="s">
        <v>59</v>
      </c>
      <c r="C67" s="45">
        <v>2</v>
      </c>
      <c r="D67" s="45"/>
      <c r="E67" s="45"/>
      <c r="F67" s="45"/>
      <c r="G67" s="45"/>
      <c r="H67" s="45">
        <v>2</v>
      </c>
      <c r="I67" s="49"/>
      <c r="J67" s="49">
        <v>2</v>
      </c>
      <c r="K67" s="49"/>
      <c r="L67" s="49"/>
      <c r="M67" s="49"/>
      <c r="N67" s="49"/>
      <c r="O67" s="49">
        <v>1</v>
      </c>
      <c r="P67" s="49">
        <v>3</v>
      </c>
      <c r="Q67" s="49">
        <v>2</v>
      </c>
      <c r="R67" s="49">
        <v>1</v>
      </c>
      <c r="S67" s="49"/>
      <c r="T67" s="49"/>
      <c r="U67" s="49">
        <v>3</v>
      </c>
      <c r="V67" s="49">
        <v>1</v>
      </c>
      <c r="W67" s="49"/>
      <c r="X67" s="49"/>
      <c r="Y67" s="49">
        <v>2</v>
      </c>
      <c r="Z67" s="49"/>
      <c r="AA67" s="49">
        <v>3</v>
      </c>
      <c r="AB67" s="49">
        <v>3</v>
      </c>
      <c r="AC67" s="49"/>
      <c r="AD67" s="49">
        <v>2</v>
      </c>
      <c r="AE67" s="49">
        <v>1</v>
      </c>
      <c r="AF67" s="49"/>
      <c r="AG67" s="49"/>
      <c r="AH67" s="35">
        <f t="shared" si="1"/>
        <v>28</v>
      </c>
      <c r="AN67" s="35">
        <f>SUM(C69:AG69)</f>
        <v>129</v>
      </c>
    </row>
    <row r="68" spans="1:40">
      <c r="A68" s="80" t="s">
        <v>31</v>
      </c>
      <c r="B68" s="80"/>
      <c r="C68" s="49">
        <f>SUM(C59:C67)</f>
        <v>2</v>
      </c>
      <c r="D68" s="49">
        <f t="shared" ref="D68:AF68" si="14">SUM(D59:D67)</f>
        <v>0</v>
      </c>
      <c r="E68" s="49">
        <f t="shared" si="14"/>
        <v>0</v>
      </c>
      <c r="F68" s="49">
        <f t="shared" si="14"/>
        <v>0</v>
      </c>
      <c r="G68" s="49">
        <f t="shared" si="14"/>
        <v>0</v>
      </c>
      <c r="H68" s="49">
        <f t="shared" si="14"/>
        <v>2</v>
      </c>
      <c r="I68" s="49">
        <f t="shared" si="14"/>
        <v>0</v>
      </c>
      <c r="J68" s="49">
        <f t="shared" si="14"/>
        <v>2</v>
      </c>
      <c r="K68" s="49">
        <f t="shared" si="14"/>
        <v>0</v>
      </c>
      <c r="L68" s="49">
        <f t="shared" si="14"/>
        <v>0</v>
      </c>
      <c r="M68" s="49">
        <f t="shared" si="14"/>
        <v>0</v>
      </c>
      <c r="N68" s="49">
        <f t="shared" si="14"/>
        <v>0</v>
      </c>
      <c r="O68" s="49">
        <f t="shared" si="14"/>
        <v>1</v>
      </c>
      <c r="P68" s="49">
        <f t="shared" si="14"/>
        <v>3</v>
      </c>
      <c r="Q68" s="49">
        <f t="shared" si="14"/>
        <v>2</v>
      </c>
      <c r="R68" s="49">
        <f t="shared" si="14"/>
        <v>1</v>
      </c>
      <c r="S68" s="49">
        <f t="shared" si="14"/>
        <v>0</v>
      </c>
      <c r="T68" s="49">
        <f t="shared" si="14"/>
        <v>0</v>
      </c>
      <c r="U68" s="49">
        <f t="shared" si="14"/>
        <v>3</v>
      </c>
      <c r="V68" s="49">
        <f t="shared" si="14"/>
        <v>1</v>
      </c>
      <c r="W68" s="49">
        <f t="shared" si="14"/>
        <v>0</v>
      </c>
      <c r="X68" s="49">
        <f t="shared" si="14"/>
        <v>0</v>
      </c>
      <c r="Y68" s="49">
        <f t="shared" si="14"/>
        <v>2</v>
      </c>
      <c r="Z68" s="49">
        <f t="shared" si="14"/>
        <v>0</v>
      </c>
      <c r="AA68" s="49">
        <f t="shared" si="14"/>
        <v>3</v>
      </c>
      <c r="AB68" s="49">
        <f t="shared" si="14"/>
        <v>3</v>
      </c>
      <c r="AC68" s="49">
        <f t="shared" si="14"/>
        <v>0</v>
      </c>
      <c r="AD68" s="49">
        <f t="shared" si="14"/>
        <v>2</v>
      </c>
      <c r="AE68" s="49">
        <f t="shared" si="14"/>
        <v>1</v>
      </c>
      <c r="AF68" s="49">
        <f t="shared" si="14"/>
        <v>0</v>
      </c>
      <c r="AG68" s="49">
        <f t="shared" ref="AG68" si="15">SUM(AG59:AG67)</f>
        <v>0</v>
      </c>
    </row>
    <row r="69" spans="1:40" ht="15.6">
      <c r="A69" s="82" t="s">
        <v>60</v>
      </c>
      <c r="B69" s="82"/>
      <c r="C69" s="49">
        <f>SUM(C7+C13+C21+C26+C32+C38+C47+C57+C68)</f>
        <v>7</v>
      </c>
      <c r="D69" s="49">
        <f t="shared" ref="D69:AF69" si="16">SUM(D7+D13+D21+D26+D32+D38+D47+D57+D68)</f>
        <v>0</v>
      </c>
      <c r="E69" s="49">
        <f t="shared" si="16"/>
        <v>0</v>
      </c>
      <c r="F69" s="49">
        <f t="shared" si="16"/>
        <v>0</v>
      </c>
      <c r="G69" s="49">
        <f t="shared" si="16"/>
        <v>0</v>
      </c>
      <c r="H69" s="49">
        <f t="shared" si="16"/>
        <v>8</v>
      </c>
      <c r="I69" s="49">
        <f t="shared" si="16"/>
        <v>0</v>
      </c>
      <c r="J69" s="49">
        <f t="shared" si="16"/>
        <v>5</v>
      </c>
      <c r="K69" s="49">
        <f t="shared" si="16"/>
        <v>0</v>
      </c>
      <c r="L69" s="49">
        <f t="shared" si="16"/>
        <v>0</v>
      </c>
      <c r="M69" s="49">
        <f t="shared" si="16"/>
        <v>0</v>
      </c>
      <c r="N69" s="49">
        <f t="shared" si="16"/>
        <v>6</v>
      </c>
      <c r="O69" s="49">
        <f t="shared" si="16"/>
        <v>6</v>
      </c>
      <c r="P69" s="49">
        <f t="shared" si="16"/>
        <v>8</v>
      </c>
      <c r="Q69" s="49">
        <f t="shared" si="16"/>
        <v>8</v>
      </c>
      <c r="R69" s="49">
        <f t="shared" si="16"/>
        <v>5</v>
      </c>
      <c r="S69" s="49">
        <f t="shared" si="16"/>
        <v>0</v>
      </c>
      <c r="T69" s="49">
        <f t="shared" si="16"/>
        <v>8</v>
      </c>
      <c r="U69" s="49">
        <f t="shared" si="16"/>
        <v>7</v>
      </c>
      <c r="V69" s="49">
        <f t="shared" si="16"/>
        <v>7</v>
      </c>
      <c r="W69" s="49">
        <f t="shared" si="16"/>
        <v>9</v>
      </c>
      <c r="X69" s="49">
        <f t="shared" si="16"/>
        <v>6</v>
      </c>
      <c r="Y69" s="49">
        <f t="shared" si="16"/>
        <v>4</v>
      </c>
      <c r="Z69" s="49">
        <f t="shared" si="16"/>
        <v>0</v>
      </c>
      <c r="AA69" s="49">
        <f t="shared" si="16"/>
        <v>7</v>
      </c>
      <c r="AB69" s="49">
        <f t="shared" si="16"/>
        <v>9</v>
      </c>
      <c r="AC69" s="49">
        <f t="shared" si="16"/>
        <v>5</v>
      </c>
      <c r="AD69" s="49">
        <f t="shared" si="16"/>
        <v>6</v>
      </c>
      <c r="AE69" s="49">
        <f t="shared" si="16"/>
        <v>8</v>
      </c>
      <c r="AF69" s="49">
        <f t="shared" si="16"/>
        <v>0</v>
      </c>
      <c r="AG69" s="49">
        <f t="shared" ref="AG69" si="17">SUM(AG7+AG13+AG21+AG26+AG32+AG38+AG47+AG57+AG68)</f>
        <v>0</v>
      </c>
      <c r="AH69" s="36">
        <f>SUM(AH6:AH67)</f>
        <v>129</v>
      </c>
    </row>
    <row r="71" spans="1:40">
      <c r="B71" s="50">
        <f>SUM(C69:AG69)</f>
        <v>129</v>
      </c>
    </row>
  </sheetData>
  <mergeCells count="22"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33:AG33"/>
    <mergeCell ref="B27:AG27"/>
    <mergeCell ref="B8:AF8"/>
    <mergeCell ref="A13:B13"/>
    <mergeCell ref="A21:B21"/>
    <mergeCell ref="A26:B26"/>
    <mergeCell ref="A68:B68"/>
    <mergeCell ref="A1:AG1"/>
    <mergeCell ref="A2:AG2"/>
    <mergeCell ref="B5:AG5"/>
    <mergeCell ref="A7:B7"/>
    <mergeCell ref="A3:AG3"/>
  </mergeCells>
  <printOptions horizontalCentered="1" verticalCentered="1"/>
  <pageMargins left="0.62992125984251968" right="0.62992125984251968" top="0.70866141732283472" bottom="0.70866141732283472" header="0.31496062992125984" footer="0.31496062992125984"/>
  <pageSetup paperSize="7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2022-07-28T04:44:34Z</cp:lastPrinted>
  <dcterms:created xsi:type="dcterms:W3CDTF">2019-10-03T10:08:12Z</dcterms:created>
  <dcterms:modified xsi:type="dcterms:W3CDTF">2022-07-28T04:44:48Z</dcterms:modified>
</cp:coreProperties>
</file>