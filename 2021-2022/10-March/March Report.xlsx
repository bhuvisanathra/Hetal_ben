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/>
  <mc:AlternateContent xmlns:mc="http://schemas.openxmlformats.org/markup-compatibility/2006">
    <mc:Choice Requires="x15">
      <x15ac:absPath xmlns:x15ac="http://schemas.microsoft.com/office/spreadsheetml/2010/11/ac" url="C:\Users\hp\Desktop\Bhuvnesh\Hetal Ben\2021-2022\10-March\"/>
    </mc:Choice>
  </mc:AlternateContent>
  <xr:revisionPtr revIDLastSave="0" documentId="13_ncr:1_{F26EF78E-1BAC-4EBA-9D0A-8E9E7B750C4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ATRAK-1. OPD-IPD Report" sheetId="1" r:id="rId1"/>
    <sheet name="PATRAK-3. Dava Vaparash" sheetId="3" r:id="rId2"/>
    <sheet name="PATRAK-4. Target" sheetId="4" r:id="rId3"/>
    <sheet name="new rog prakat" sheetId="8" r:id="rId4"/>
    <sheet name="Sheet1" sheetId="9" r:id="rId5"/>
  </sheets>
  <definedNames>
    <definedName name="_xlnm.Print_Area" localSheetId="3">'new rog prakat'!$A$1:$AG$69</definedName>
    <definedName name="_xlnm.Print_Area" localSheetId="0">'PATRAK-1. OPD-IPD Report'!$A$1:$Y$40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23" i="1" l="1"/>
  <c r="S23" i="1"/>
  <c r="T23" i="1"/>
  <c r="U23" i="1"/>
  <c r="V23" i="1"/>
  <c r="W23" i="1"/>
  <c r="R24" i="1"/>
  <c r="S24" i="1"/>
  <c r="Y24" i="1" s="1"/>
  <c r="T24" i="1"/>
  <c r="U24" i="1"/>
  <c r="V24" i="1"/>
  <c r="W24" i="1"/>
  <c r="R25" i="1"/>
  <c r="S25" i="1"/>
  <c r="T25" i="1"/>
  <c r="U25" i="1"/>
  <c r="V25" i="1"/>
  <c r="W25" i="1"/>
  <c r="R26" i="1"/>
  <c r="S26" i="1"/>
  <c r="Y26" i="1" s="1"/>
  <c r="T26" i="1"/>
  <c r="U26" i="1"/>
  <c r="V26" i="1"/>
  <c r="W26" i="1"/>
  <c r="R27" i="1"/>
  <c r="S27" i="1"/>
  <c r="T27" i="1"/>
  <c r="U27" i="1"/>
  <c r="V27" i="1"/>
  <c r="W27" i="1"/>
  <c r="R28" i="1"/>
  <c r="S28" i="1"/>
  <c r="T28" i="1"/>
  <c r="U28" i="1"/>
  <c r="V28" i="1"/>
  <c r="W28" i="1"/>
  <c r="R29" i="1"/>
  <c r="S29" i="1"/>
  <c r="T29" i="1"/>
  <c r="U29" i="1"/>
  <c r="V29" i="1"/>
  <c r="W29" i="1"/>
  <c r="R30" i="1"/>
  <c r="S30" i="1"/>
  <c r="T30" i="1"/>
  <c r="U30" i="1"/>
  <c r="V30" i="1"/>
  <c r="W30" i="1"/>
  <c r="R31" i="1"/>
  <c r="S31" i="1"/>
  <c r="T31" i="1"/>
  <c r="U31" i="1"/>
  <c r="V31" i="1"/>
  <c r="W31" i="1"/>
  <c r="R32" i="1"/>
  <c r="S32" i="1"/>
  <c r="T32" i="1"/>
  <c r="U32" i="1"/>
  <c r="V32" i="1"/>
  <c r="W32" i="1"/>
  <c r="R33" i="1"/>
  <c r="S33" i="1"/>
  <c r="T33" i="1"/>
  <c r="U33" i="1"/>
  <c r="V33" i="1"/>
  <c r="W33" i="1"/>
  <c r="R34" i="1"/>
  <c r="S34" i="1"/>
  <c r="T34" i="1"/>
  <c r="U34" i="1"/>
  <c r="V34" i="1"/>
  <c r="W34" i="1"/>
  <c r="R35" i="1"/>
  <c r="S35" i="1"/>
  <c r="T35" i="1"/>
  <c r="U35" i="1"/>
  <c r="V35" i="1"/>
  <c r="W35" i="1"/>
  <c r="R36" i="1"/>
  <c r="S36" i="1"/>
  <c r="T36" i="1"/>
  <c r="U36" i="1"/>
  <c r="V36" i="1"/>
  <c r="W36" i="1"/>
  <c r="R37" i="1"/>
  <c r="S37" i="1"/>
  <c r="T37" i="1"/>
  <c r="U37" i="1"/>
  <c r="V37" i="1"/>
  <c r="W37" i="1"/>
  <c r="R38" i="1"/>
  <c r="S38" i="1"/>
  <c r="T38" i="1"/>
  <c r="U38" i="1"/>
  <c r="V38" i="1"/>
  <c r="W38" i="1"/>
  <c r="R39" i="1"/>
  <c r="S39" i="1"/>
  <c r="T39" i="1"/>
  <c r="U39" i="1"/>
  <c r="V39" i="1"/>
  <c r="W39" i="1"/>
  <c r="X23" i="1"/>
  <c r="Y23" i="1"/>
  <c r="X24" i="1"/>
  <c r="X25" i="1"/>
  <c r="Y25" i="1"/>
  <c r="X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K57" i="8"/>
  <c r="H57" i="8"/>
  <c r="AH34" i="8"/>
  <c r="AH8" i="8"/>
  <c r="AH9" i="8"/>
  <c r="AH10" i="8"/>
  <c r="AH11" i="8"/>
  <c r="AH12" i="8"/>
  <c r="AH14" i="8"/>
  <c r="AH15" i="8"/>
  <c r="AH16" i="8"/>
  <c r="AH17" i="8"/>
  <c r="AH18" i="8"/>
  <c r="AH19" i="8"/>
  <c r="AH20" i="8"/>
  <c r="AH22" i="8"/>
  <c r="AH23" i="8"/>
  <c r="AH24" i="8"/>
  <c r="AH25" i="8"/>
  <c r="AH27" i="8"/>
  <c r="AH28" i="8"/>
  <c r="AH29" i="8"/>
  <c r="AH30" i="8"/>
  <c r="AH31" i="8"/>
  <c r="AH33" i="8"/>
  <c r="AH35" i="8"/>
  <c r="AH36" i="8"/>
  <c r="AH37" i="8"/>
  <c r="AH39" i="8"/>
  <c r="AH40" i="8"/>
  <c r="AH41" i="8"/>
  <c r="AH42" i="8"/>
  <c r="AH43" i="8"/>
  <c r="AH44" i="8"/>
  <c r="AH45" i="8"/>
  <c r="AH46" i="8"/>
  <c r="AH49" i="8"/>
  <c r="AH50" i="8"/>
  <c r="AH51" i="8"/>
  <c r="AH52" i="8"/>
  <c r="AH53" i="8"/>
  <c r="AH54" i="8"/>
  <c r="AH55" i="8"/>
  <c r="AH56" i="8"/>
  <c r="AH58" i="8"/>
  <c r="AH59" i="8"/>
  <c r="AH60" i="8"/>
  <c r="AH61" i="8"/>
  <c r="AH62" i="8"/>
  <c r="AH63" i="8"/>
  <c r="AH64" i="8"/>
  <c r="AH65" i="8"/>
  <c r="AH66" i="8"/>
  <c r="AH67" i="8"/>
  <c r="AH6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O40" i="1"/>
  <c r="N40" i="1"/>
  <c r="M40" i="1"/>
  <c r="L40" i="1"/>
  <c r="K40" i="1"/>
  <c r="J40" i="1"/>
  <c r="G40" i="1"/>
  <c r="F40" i="1"/>
  <c r="E40" i="1"/>
  <c r="D40" i="1"/>
  <c r="C40" i="1"/>
  <c r="B40" i="1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Q21" i="1"/>
  <c r="P22" i="1"/>
  <c r="Q22" i="1"/>
  <c r="Q9" i="1"/>
  <c r="P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2" i="1"/>
  <c r="I22" i="1"/>
  <c r="I9" i="1"/>
  <c r="H9" i="1"/>
  <c r="W20" i="1"/>
  <c r="V20" i="1"/>
  <c r="U20" i="1"/>
  <c r="T20" i="1"/>
  <c r="S20" i="1"/>
  <c r="R20" i="1"/>
  <c r="W19" i="1"/>
  <c r="V19" i="1"/>
  <c r="U19" i="1"/>
  <c r="T19" i="1"/>
  <c r="S19" i="1"/>
  <c r="R19" i="1"/>
  <c r="AG68" i="8"/>
  <c r="AG57" i="8"/>
  <c r="AG38" i="8"/>
  <c r="AG32" i="8"/>
  <c r="AG13" i="8"/>
  <c r="R10" i="1"/>
  <c r="W9" i="1"/>
  <c r="V9" i="1"/>
  <c r="U9" i="1"/>
  <c r="T9" i="1"/>
  <c r="S9" i="1"/>
  <c r="R9" i="1"/>
  <c r="C14" i="4"/>
  <c r="AE68" i="8"/>
  <c r="I68" i="8"/>
  <c r="AF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H68" i="8"/>
  <c r="G68" i="8"/>
  <c r="F68" i="8"/>
  <c r="E68" i="8"/>
  <c r="D68" i="8"/>
  <c r="C68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J57" i="8"/>
  <c r="I57" i="8"/>
  <c r="G57" i="8"/>
  <c r="F57" i="8"/>
  <c r="E57" i="8"/>
  <c r="D57" i="8"/>
  <c r="C5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AH47" i="8" s="1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AC37" i="1" l="1"/>
  <c r="AH69" i="8"/>
  <c r="AC27" i="1"/>
  <c r="AF69" i="8"/>
  <c r="AC36" i="1"/>
  <c r="AC33" i="1"/>
  <c r="AC31" i="1"/>
  <c r="AC30" i="1"/>
  <c r="AC29" i="1"/>
  <c r="AC28" i="1"/>
  <c r="AC25" i="1"/>
  <c r="AC24" i="1"/>
  <c r="AC22" i="1"/>
  <c r="AC19" i="1"/>
  <c r="AC16" i="1"/>
  <c r="AC15" i="1"/>
  <c r="AC14" i="1"/>
  <c r="AC13" i="1"/>
  <c r="AC12" i="1"/>
  <c r="AC9" i="1"/>
  <c r="AC39" i="1"/>
  <c r="AC38" i="1"/>
  <c r="AC35" i="1"/>
  <c r="AC34" i="1"/>
  <c r="AC32" i="1"/>
  <c r="AC26" i="1"/>
  <c r="AC23" i="1"/>
  <c r="AC21" i="1"/>
  <c r="AC20" i="1"/>
  <c r="AC18" i="1"/>
  <c r="AC17" i="1"/>
  <c r="AC11" i="1"/>
  <c r="AC10" i="1"/>
  <c r="X19" i="1"/>
  <c r="Y20" i="1"/>
  <c r="Y19" i="1"/>
  <c r="AD44" i="1"/>
  <c r="AD43" i="1"/>
  <c r="AD42" i="1"/>
  <c r="R40" i="1"/>
  <c r="AG69" i="8"/>
  <c r="Y69" i="8"/>
  <c r="C69" i="8"/>
  <c r="Z69" i="8"/>
  <c r="T40" i="1"/>
  <c r="U40" i="1"/>
  <c r="H40" i="1"/>
  <c r="S40" i="1"/>
  <c r="W40" i="1"/>
  <c r="V40" i="1"/>
  <c r="I40" i="1"/>
  <c r="Q40" i="1"/>
  <c r="P40" i="1"/>
  <c r="Y9" i="1"/>
  <c r="X9" i="1"/>
  <c r="AB69" i="8"/>
  <c r="S69" i="8"/>
  <c r="L69" i="8"/>
  <c r="I69" i="8"/>
  <c r="AE69" i="8"/>
  <c r="AD69" i="8"/>
  <c r="AC69" i="8"/>
  <c r="AA69" i="8"/>
  <c r="X69" i="8"/>
  <c r="W69" i="8"/>
  <c r="V69" i="8"/>
  <c r="U69" i="8"/>
  <c r="T69" i="8"/>
  <c r="R69" i="8"/>
  <c r="Q69" i="8"/>
  <c r="P69" i="8"/>
  <c r="O69" i="8"/>
  <c r="N69" i="8"/>
  <c r="M69" i="8"/>
  <c r="K69" i="8"/>
  <c r="J69" i="8"/>
  <c r="H69" i="8"/>
  <c r="G69" i="8"/>
  <c r="F69" i="8"/>
  <c r="E69" i="8"/>
  <c r="D69" i="8"/>
  <c r="W22" i="1"/>
  <c r="V22" i="1"/>
  <c r="U22" i="1"/>
  <c r="T22" i="1"/>
  <c r="S22" i="1"/>
  <c r="R22" i="1"/>
  <c r="V21" i="1"/>
  <c r="U21" i="1"/>
  <c r="T21" i="1"/>
  <c r="S21" i="1"/>
  <c r="R21" i="1"/>
  <c r="W18" i="1"/>
  <c r="V18" i="1"/>
  <c r="U18" i="1"/>
  <c r="T18" i="1"/>
  <c r="S18" i="1"/>
  <c r="R18" i="1"/>
  <c r="W17" i="1"/>
  <c r="V17" i="1"/>
  <c r="U17" i="1"/>
  <c r="T17" i="1"/>
  <c r="S17" i="1"/>
  <c r="R17" i="1"/>
  <c r="W16" i="1"/>
  <c r="V16" i="1"/>
  <c r="U16" i="1"/>
  <c r="T16" i="1"/>
  <c r="S16" i="1"/>
  <c r="R16" i="1"/>
  <c r="W15" i="1"/>
  <c r="V15" i="1"/>
  <c r="U15" i="1"/>
  <c r="T15" i="1"/>
  <c r="S15" i="1"/>
  <c r="R15" i="1"/>
  <c r="W14" i="1"/>
  <c r="V14" i="1"/>
  <c r="U14" i="1"/>
  <c r="T14" i="1"/>
  <c r="S14" i="1"/>
  <c r="R14" i="1"/>
  <c r="W13" i="1"/>
  <c r="V13" i="1"/>
  <c r="U13" i="1"/>
  <c r="T13" i="1"/>
  <c r="S13" i="1"/>
  <c r="R13" i="1"/>
  <c r="W12" i="1"/>
  <c r="V12" i="1"/>
  <c r="U12" i="1"/>
  <c r="T12" i="1"/>
  <c r="S12" i="1"/>
  <c r="R12" i="1"/>
  <c r="W11" i="1"/>
  <c r="V11" i="1"/>
  <c r="U11" i="1"/>
  <c r="T11" i="1"/>
  <c r="S11" i="1"/>
  <c r="R11" i="1"/>
  <c r="W10" i="1"/>
  <c r="V10" i="1"/>
  <c r="U10" i="1"/>
  <c r="T10" i="1"/>
  <c r="S10" i="1"/>
  <c r="B71" i="8" l="1"/>
  <c r="AC40" i="1"/>
  <c r="AA9" i="1"/>
  <c r="AA39" i="1"/>
  <c r="AA19" i="1"/>
  <c r="AN67" i="8"/>
  <c r="X13" i="1"/>
  <c r="X14" i="1"/>
  <c r="X18" i="1"/>
  <c r="X15" i="1"/>
  <c r="AE42" i="1"/>
  <c r="AD46" i="1"/>
  <c r="AD45" i="1"/>
  <c r="AE45" i="1"/>
  <c r="Y13" i="1"/>
  <c r="Y17" i="1"/>
  <c r="Y18" i="1"/>
  <c r="Y22" i="1"/>
  <c r="X22" i="1"/>
  <c r="Y21" i="1"/>
  <c r="X21" i="1"/>
  <c r="X17" i="1"/>
  <c r="X16" i="1"/>
  <c r="Y16" i="1"/>
  <c r="Y15" i="1"/>
  <c r="Y14" i="1"/>
  <c r="X12" i="1"/>
  <c r="Y12" i="1"/>
  <c r="Y40" i="1"/>
  <c r="X40" i="1"/>
  <c r="X10" i="1"/>
  <c r="X11" i="1"/>
  <c r="Y10" i="1"/>
  <c r="Y11" i="1"/>
  <c r="AA37" i="1" l="1"/>
  <c r="AA36" i="1"/>
  <c r="AA33" i="1"/>
  <c r="AA30" i="1"/>
  <c r="AA29" i="1"/>
  <c r="AA23" i="1"/>
  <c r="AA22" i="1"/>
  <c r="AA15" i="1"/>
  <c r="AA38" i="1"/>
  <c r="AA35" i="1"/>
  <c r="AA34" i="1"/>
  <c r="AA32" i="1"/>
  <c r="AA31" i="1"/>
  <c r="AA28" i="1"/>
  <c r="AA27" i="1"/>
  <c r="AA26" i="1"/>
  <c r="AA25" i="1"/>
  <c r="AA24" i="1"/>
  <c r="AA21" i="1"/>
  <c r="AA18" i="1"/>
  <c r="AA17" i="1"/>
  <c r="AA16" i="1"/>
  <c r="AA14" i="1"/>
  <c r="AA13" i="1"/>
  <c r="AA12" i="1"/>
  <c r="AA11" i="1"/>
  <c r="AA10" i="1"/>
  <c r="X20" i="1"/>
  <c r="AA20" i="1" s="1"/>
  <c r="AA40" i="1" l="1"/>
</calcChain>
</file>

<file path=xl/sharedStrings.xml><?xml version="1.0" encoding="utf-8"?>
<sst xmlns="http://schemas.openxmlformats.org/spreadsheetml/2006/main" count="176" uniqueCount="122">
  <si>
    <t xml:space="preserve">પત્રક -૧ </t>
  </si>
  <si>
    <t xml:space="preserve">કચેરીનું નામ.............................. .............................. </t>
  </si>
  <si>
    <t xml:space="preserve">NEW CASE </t>
  </si>
  <si>
    <t xml:space="preserve">OLD CASE </t>
  </si>
  <si>
    <t>TOTAL CASE</t>
  </si>
  <si>
    <t>DATE</t>
  </si>
  <si>
    <t>0-15 Years</t>
  </si>
  <si>
    <t>16-60 Years</t>
  </si>
  <si>
    <t>60 Above</t>
  </si>
  <si>
    <t xml:space="preserve">Total </t>
  </si>
  <si>
    <t>M</t>
  </si>
  <si>
    <t>F</t>
  </si>
  <si>
    <t>પત્રક - ૩</t>
  </si>
  <si>
    <t>પત્રક - ૨</t>
  </si>
  <si>
    <t xml:space="preserve">કચેરીનું નામ.............................. </t>
  </si>
  <si>
    <t>દવા વપરાશ પત્રક</t>
  </si>
  <si>
    <t>No</t>
  </si>
  <si>
    <t xml:space="preserve">ક્રમ </t>
  </si>
  <si>
    <t>માસની ઉઘડતી સિલક</t>
  </si>
  <si>
    <t>માસ દરમ્યાન આવેલ દવાની કિંમત</t>
  </si>
  <si>
    <t>અન્ય દવાખાના/હોસ્પિટલ માંથી આવેલ દવાની કિંમત</t>
  </si>
  <si>
    <t>દવાખાનામાં ઉપલબ્ધ કુલ દવાની કિંમત (૨+૩+૪)</t>
  </si>
  <si>
    <t>અન્ય દવાખાના/હોસ્પિટલ માં આપેલ દવાની કિંમત</t>
  </si>
  <si>
    <t>માસ દરમ્યાન વપરાયેલ દવાની કિંમત</t>
  </si>
  <si>
    <t>કુલ વપરાશ થયેલ દવાની કિંમત   (૬+૭)</t>
  </si>
  <si>
    <t>માસ અંતિત સિલક
(૫-૮)</t>
  </si>
  <si>
    <t>માસ દરમ્યાન દર્દી ની સંખ્યા</t>
  </si>
  <si>
    <t>માસ દરમ્યાન આપેલ દવાના દિવસો</t>
  </si>
  <si>
    <t>રીમાર્કસ</t>
  </si>
  <si>
    <t>૧</t>
  </si>
  <si>
    <t>A</t>
  </si>
  <si>
    <t>Total</t>
  </si>
  <si>
    <t>B</t>
  </si>
  <si>
    <t>પત્રક - ૪</t>
  </si>
  <si>
    <t>ક્રમ</t>
  </si>
  <si>
    <t>કામગીરી ની વિગત</t>
  </si>
  <si>
    <t>ફાળવેલ લક્ષ્યાંક</t>
  </si>
  <si>
    <t>ગયા માસ સુધીની સિધ્ધિ</t>
  </si>
  <si>
    <t>ચાલુ માસની સિધ્ધિ</t>
  </si>
  <si>
    <t>કુલ સિધ્ધિ</t>
  </si>
  <si>
    <t>બાકી લક્ષ્યાંક</t>
  </si>
  <si>
    <t>કુલ કામગીરી ટકાવારી મુજબ</t>
  </si>
  <si>
    <t>ઓપીડી એવરેજ</t>
  </si>
  <si>
    <t>નિદાન ચિકિત્સા કેમ્પ</t>
  </si>
  <si>
    <t>લાભાર્થી</t>
  </si>
  <si>
    <t>શાળા આરોગ્ય માર્ગદર્શન</t>
  </si>
  <si>
    <t>આંગણવાડી આરોગ્ય માર્ગદર્શન</t>
  </si>
  <si>
    <t>C</t>
  </si>
  <si>
    <t>આરોગ્ય જાગૃતિ અને આયુષ પ્રચાર પ્રસાર માટે પરિસંવાદ</t>
  </si>
  <si>
    <t>પ્રકૃતિ પરિક્ષણ લાભાર્થી</t>
  </si>
  <si>
    <t>૧ પ્રતિ દિન</t>
  </si>
  <si>
    <t>જીરિયાટ્રીક ઓ.પી.ડી.</t>
  </si>
  <si>
    <t>૨ પ્રતિ માસ</t>
  </si>
  <si>
    <t>D</t>
  </si>
  <si>
    <t xml:space="preserve">TOTAL </t>
  </si>
  <si>
    <t>E</t>
  </si>
  <si>
    <t>G</t>
  </si>
  <si>
    <t>H</t>
  </si>
  <si>
    <t>I</t>
  </si>
  <si>
    <t>Others</t>
  </si>
  <si>
    <t>Grand Total</t>
  </si>
  <si>
    <t>સરકારી હોમિયોપેથિક દવાખાનું, તા.-.પોરબંદર,જિલ્લો.- પોરબંદર</t>
  </si>
  <si>
    <t>મેડિકલ ઓફિસર
સરકારી હોમિયોપેથિક  દવાખાનુ..........</t>
  </si>
  <si>
    <t xml:space="preserve">સરકારી હોમિયોપેથિક દવાખાનું., તા.-.પોરબંદર.,જિલ્લો.- પોરબંદર </t>
  </si>
  <si>
    <r>
      <t xml:space="preserve">DATE </t>
    </r>
    <r>
      <rPr>
        <b/>
        <sz val="10"/>
        <color indexed="8"/>
        <rFont val="Wingdings"/>
        <charset val="2"/>
      </rPr>
      <t>è</t>
    </r>
  </si>
  <si>
    <t>Fever</t>
  </si>
  <si>
    <t>Joint Dis. / Nerological dis.</t>
  </si>
  <si>
    <t>Gout</t>
  </si>
  <si>
    <t>Arthritis</t>
  </si>
  <si>
    <t>Neurological</t>
  </si>
  <si>
    <t>Digestive Dis.</t>
  </si>
  <si>
    <t>Indigetion</t>
  </si>
  <si>
    <t>Constipation</t>
  </si>
  <si>
    <t>Worms</t>
  </si>
  <si>
    <t>Hyperacidity</t>
  </si>
  <si>
    <t>Anaemia</t>
  </si>
  <si>
    <t>Diarrohea/Dysentry</t>
  </si>
  <si>
    <t>Diarrhoea</t>
  </si>
  <si>
    <t>Dysentry</t>
  </si>
  <si>
    <t>Respiratory Dis.</t>
  </si>
  <si>
    <t>Cold</t>
  </si>
  <si>
    <t>Cough</t>
  </si>
  <si>
    <t>Ashthma</t>
  </si>
  <si>
    <t>Anorectal Dis.</t>
  </si>
  <si>
    <t>Piles</t>
  </si>
  <si>
    <t>Fissure in Ano</t>
  </si>
  <si>
    <t>Anal Fistula</t>
  </si>
  <si>
    <t>Lifestyle Dis.</t>
  </si>
  <si>
    <t>Obecity</t>
  </si>
  <si>
    <t>Diabetes</t>
  </si>
  <si>
    <t>HT/Cardiac Diseases</t>
  </si>
  <si>
    <t>Thyroid</t>
  </si>
  <si>
    <t>Psycologycal</t>
  </si>
  <si>
    <t>IBS</t>
  </si>
  <si>
    <t>Skin Dis.</t>
  </si>
  <si>
    <t>Acne / Pimple</t>
  </si>
  <si>
    <t>Warts</t>
  </si>
  <si>
    <t>Ringworm</t>
  </si>
  <si>
    <t>Leucoderma</t>
  </si>
  <si>
    <t>Eczema</t>
  </si>
  <si>
    <t>Psoriasis</t>
  </si>
  <si>
    <t>Hairfall / Dandruff</t>
  </si>
  <si>
    <t>Gynacologycal</t>
  </si>
  <si>
    <t>Kidney Diseases</t>
  </si>
  <si>
    <t>Male Genital Dis.</t>
  </si>
  <si>
    <t>Paediatric</t>
  </si>
  <si>
    <t>Oedima</t>
  </si>
  <si>
    <t>ENT diseases</t>
  </si>
  <si>
    <t>EYE Diseases</t>
  </si>
  <si>
    <t>Dental Diseases</t>
  </si>
  <si>
    <t xml:space="preserve">લક્ષ્યાંક અન્વયે થયેલ કામગીરી - ઓગસ્ટ -૨૦૧૯ થી માર્ચ ૨૦૨૦ </t>
  </si>
  <si>
    <t xml:space="preserve">સરકારી હોમિયોપેથિક દવાખાનું (માજીવાણા)  તા.-પોરબંદર,જિલ્લો.- પોરબંદર </t>
  </si>
  <si>
    <t>New Case:</t>
  </si>
  <si>
    <t>Old Case:</t>
  </si>
  <si>
    <t>Male</t>
  </si>
  <si>
    <t>Female</t>
  </si>
  <si>
    <t>O.P.D./I.P.D. Patients  Report</t>
  </si>
  <si>
    <t>Children</t>
  </si>
  <si>
    <t>NEW CASE</t>
  </si>
  <si>
    <t>TOTAL</t>
  </si>
  <si>
    <t>Month :- March 2022</t>
  </si>
  <si>
    <t>Gov. Homeopathy Dispensory Ayurved Hospital(Majivana)     Ta.Porbandar    Di.Porbandar     Month: March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</si>
</sst>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7000447]0"/>
    <numFmt numFmtId="165" formatCode="[$-7000447]0.#"/>
  </numFmts>
  <fonts count="23"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1"/>
      <color rgb="FF333333"/>
      <name val="Calibri"/>
    </font>
    <font>
      <sz val="11"/>
      <color rgb="FF333333"/>
      <name val="Calibri"/>
    </font>
    <font>
      <sz val="10"/>
      <color theme="1"/>
      <name val="Arial"/>
    </font>
    <font>
      <b/>
      <sz val="11"/>
      <color theme="1"/>
      <name val="Arial"/>
    </font>
    <font>
      <sz val="16"/>
      <color theme="1"/>
      <name val="Krishna"/>
    </font>
    <font>
      <sz val="11"/>
      <color theme="1"/>
      <name val="Krishna"/>
    </font>
    <font>
      <sz val="16"/>
      <color theme="1"/>
      <name val="Arial"/>
    </font>
    <font>
      <b/>
      <sz val="11"/>
      <color theme="1"/>
      <name val="Krishna"/>
    </font>
    <font>
      <sz val="11"/>
      <color theme="1"/>
      <name val="Arial"/>
    </font>
    <font>
      <b/>
      <sz val="10"/>
      <color theme="1"/>
      <name val="Arial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Wingdings"/>
      <charset val="2"/>
    </font>
    <font>
      <b/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333333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4" xfId="0" applyFont="1" applyBorder="1" applyAlignment="1">
      <alignment horizontal="center" vertical="top" wrapText="1"/>
    </xf>
    <xf numFmtId="0" fontId="0" fillId="0" borderId="0" xfId="0" applyFont="1"/>
    <xf numFmtId="0" fontId="5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5" fillId="0" borderId="4" xfId="0" applyFont="1" applyBorder="1"/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164" fontId="5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 wrapText="1"/>
    </xf>
    <xf numFmtId="0" fontId="4" fillId="0" borderId="0" xfId="0" applyFont="1" applyAlignment="1">
      <alignment vertical="top" wrapText="1"/>
    </xf>
    <xf numFmtId="164" fontId="21" fillId="0" borderId="1" xfId="0" applyNumberFormat="1" applyFont="1" applyBorder="1" applyAlignment="1">
      <alignment horizontal="center" vertical="center"/>
    </xf>
    <xf numFmtId="165" fontId="21" fillId="0" borderId="4" xfId="0" applyNumberFormat="1" applyFont="1" applyBorder="1" applyAlignment="1">
      <alignment horizontal="center" vertical="center"/>
    </xf>
    <xf numFmtId="165" fontId="21" fillId="0" borderId="3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164" fontId="21" fillId="0" borderId="3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4" xfId="0" applyFont="1" applyBorder="1" applyAlignment="1">
      <alignment horizontal="right" vertical="center"/>
    </xf>
    <xf numFmtId="0" fontId="15" fillId="0" borderId="0" xfId="0" applyFont="1" applyAlignment="1"/>
    <xf numFmtId="0" fontId="0" fillId="0" borderId="0" xfId="0" applyFont="1" applyAlignment="1"/>
    <xf numFmtId="0" fontId="15" fillId="0" borderId="0" xfId="0" applyFont="1" applyAlignment="1"/>
    <xf numFmtId="0" fontId="13" fillId="0" borderId="0" xfId="0" applyFont="1" applyBorder="1" applyAlignment="1">
      <alignment horizontal="center"/>
    </xf>
    <xf numFmtId="0" fontId="0" fillId="0" borderId="0" xfId="0" applyFont="1" applyAlignment="1"/>
    <xf numFmtId="0" fontId="0" fillId="0" borderId="0" xfId="0" applyAlignment="1"/>
    <xf numFmtId="0" fontId="0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20" fillId="0" borderId="4" xfId="0" applyFont="1" applyFill="1" applyBorder="1" applyAlignment="1">
      <alignment horizontal="center" vertical="center" wrapText="1"/>
    </xf>
    <xf numFmtId="0" fontId="15" fillId="0" borderId="4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0" fillId="0" borderId="16" xfId="0" applyBorder="1" applyAlignment="1"/>
    <xf numFmtId="0" fontId="15" fillId="0" borderId="0" xfId="0" applyFont="1" applyBorder="1" applyAlignment="1"/>
    <xf numFmtId="0" fontId="0" fillId="0" borderId="15" xfId="0" applyFont="1" applyBorder="1" applyAlignment="1"/>
    <xf numFmtId="0" fontId="0" fillId="0" borderId="0" xfId="0" applyFont="1" applyAlignment="1"/>
    <xf numFmtId="0" fontId="0" fillId="0" borderId="0" xfId="0" applyFont="1" applyAlignment="1"/>
    <xf numFmtId="0" fontId="0" fillId="0" borderId="10" xfId="0" applyFont="1" applyBorder="1" applyAlignment="1">
      <alignment horizontal="center" vertical="center"/>
    </xf>
    <xf numFmtId="0" fontId="16" fillId="0" borderId="10" xfId="0" applyFont="1" applyFill="1" applyBorder="1" applyAlignment="1">
      <alignment horizontal="center"/>
    </xf>
    <xf numFmtId="0" fontId="16" fillId="0" borderId="10" xfId="0" applyFont="1" applyFill="1" applyBorder="1" applyAlignment="1">
      <alignment horizontal="center" wrapText="1"/>
    </xf>
    <xf numFmtId="0" fontId="0" fillId="0" borderId="0" xfId="0" applyFont="1" applyAlignment="1"/>
    <xf numFmtId="0" fontId="15" fillId="0" borderId="7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/>
    </xf>
    <xf numFmtId="0" fontId="18" fillId="0" borderId="13" xfId="0" applyFont="1" applyFill="1" applyBorder="1" applyAlignment="1">
      <alignment horizontal="center"/>
    </xf>
    <xf numFmtId="0" fontId="15" fillId="0" borderId="0" xfId="0" applyFont="1" applyFill="1" applyAlignment="1"/>
    <xf numFmtId="0" fontId="15" fillId="0" borderId="10" xfId="0" applyFont="1" applyFill="1" applyBorder="1" applyAlignment="1">
      <alignment horizontal="center"/>
    </xf>
    <xf numFmtId="0" fontId="18" fillId="0" borderId="12" xfId="0" applyFont="1" applyFill="1" applyBorder="1" applyAlignment="1">
      <alignment horizontal="center"/>
    </xf>
    <xf numFmtId="0" fontId="18" fillId="0" borderId="14" xfId="0" applyFont="1" applyFill="1" applyBorder="1" applyAlignment="1">
      <alignment horizontal="center"/>
    </xf>
    <xf numFmtId="0" fontId="0" fillId="0" borderId="1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9" fillId="0" borderId="3" xfId="0" applyFont="1" applyFill="1" applyBorder="1"/>
    <xf numFmtId="0" fontId="3" fillId="0" borderId="1" xfId="0" applyFont="1" applyFill="1" applyBorder="1" applyAlignment="1">
      <alignment horizontal="center" vertical="center" wrapText="1"/>
    </xf>
    <xf numFmtId="0" fontId="2" fillId="0" borderId="3" xfId="0" applyFont="1" applyFill="1" applyBorder="1"/>
    <xf numFmtId="0" fontId="15" fillId="4" borderId="1" xfId="0" applyFont="1" applyFill="1" applyBorder="1" applyAlignment="1">
      <alignment horizontal="center" vertical="center"/>
    </xf>
    <xf numFmtId="0" fontId="19" fillId="4" borderId="2" xfId="0" applyFont="1" applyFill="1" applyBorder="1"/>
    <xf numFmtId="0" fontId="19" fillId="4" borderId="3" xfId="0" applyFont="1" applyFill="1" applyBorder="1"/>
    <xf numFmtId="0" fontId="3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0" fontId="15" fillId="4" borderId="16" xfId="0" applyFont="1" applyFill="1" applyBorder="1" applyAlignment="1">
      <alignment horizontal="center" vertical="center"/>
    </xf>
    <xf numFmtId="0" fontId="15" fillId="4" borderId="0" xfId="0" applyFont="1" applyFill="1" applyBorder="1" applyAlignment="1"/>
    <xf numFmtId="0" fontId="15" fillId="4" borderId="20" xfId="0" applyFont="1" applyFill="1" applyBorder="1" applyAlignment="1"/>
    <xf numFmtId="0" fontId="15" fillId="4" borderId="21" xfId="0" applyFont="1" applyFill="1" applyBorder="1" applyAlignment="1">
      <alignment horizontal="center" vertical="center"/>
    </xf>
    <xf numFmtId="0" fontId="15" fillId="4" borderId="22" xfId="0" applyFont="1" applyFill="1" applyBorder="1" applyAlignment="1"/>
    <xf numFmtId="0" fontId="15" fillId="4" borderId="23" xfId="0" applyFont="1" applyFill="1" applyBorder="1" applyAlignment="1"/>
    <xf numFmtId="0" fontId="15" fillId="4" borderId="5" xfId="0" applyFont="1" applyFill="1" applyBorder="1" applyAlignment="1">
      <alignment horizontal="center" wrapText="1"/>
    </xf>
    <xf numFmtId="0" fontId="19" fillId="4" borderId="6" xfId="0" applyFont="1" applyFill="1" applyBorder="1"/>
    <xf numFmtId="0" fontId="19" fillId="4" borderId="17" xfId="0" applyFont="1" applyFill="1" applyBorder="1"/>
    <xf numFmtId="0" fontId="15" fillId="3" borderId="18" xfId="0" applyFont="1" applyFill="1" applyBorder="1" applyAlignment="1">
      <alignment horizontal="center"/>
    </xf>
    <xf numFmtId="0" fontId="15" fillId="3" borderId="15" xfId="0" applyFont="1" applyFill="1" applyBorder="1" applyAlignment="1"/>
    <xf numFmtId="0" fontId="15" fillId="3" borderId="19" xfId="0" applyFont="1" applyFill="1" applyBorder="1" applyAlignment="1"/>
    <xf numFmtId="0" fontId="0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/>
    <xf numFmtId="0" fontId="0" fillId="0" borderId="0" xfId="0" applyAlignment="1">
      <alignment horizontal="center" wrapText="1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6" xfId="0" applyFont="1" applyBorder="1"/>
    <xf numFmtId="0" fontId="0" fillId="0" borderId="0" xfId="0" applyFont="1" applyAlignment="1">
      <alignment horizontal="center"/>
    </xf>
    <xf numFmtId="164" fontId="5" fillId="0" borderId="8" xfId="0" applyNumberFormat="1" applyFont="1" applyBorder="1" applyAlignment="1">
      <alignment horizontal="center" vertical="center"/>
    </xf>
    <xf numFmtId="0" fontId="2" fillId="0" borderId="9" xfId="0" applyFont="1" applyBorder="1"/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4" fillId="0" borderId="10" xfId="0" applyFont="1" applyFill="1" applyBorder="1" applyAlignment="1">
      <alignment horizontal="center" wrapText="1"/>
    </xf>
    <xf numFmtId="0" fontId="16" fillId="0" borderId="10" xfId="0" applyFont="1" applyFill="1" applyBorder="1" applyAlignment="1">
      <alignment horizontal="center"/>
    </xf>
    <xf numFmtId="0" fontId="18" fillId="0" borderId="12" xfId="0" applyFont="1" applyFill="1" applyBorder="1" applyAlignment="1">
      <alignment horizontal="center"/>
    </xf>
    <xf numFmtId="0" fontId="18" fillId="0" borderId="13" xfId="0" applyFont="1" applyFill="1" applyBorder="1" applyAlignment="1">
      <alignment horizontal="center"/>
    </xf>
    <xf numFmtId="0" fontId="18" fillId="0" borderId="14" xfId="0" applyFont="1" applyFill="1" applyBorder="1" applyAlignment="1">
      <alignment horizontal="center"/>
    </xf>
    <xf numFmtId="0" fontId="18" fillId="0" borderId="10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13" xfId="0" applyFont="1" applyFill="1" applyBorder="1" applyAlignment="1">
      <alignment horizontal="center"/>
    </xf>
    <xf numFmtId="0" fontId="13" fillId="0" borderId="14" xfId="0" applyFont="1" applyFill="1" applyBorder="1" applyAlignment="1">
      <alignment horizontal="center"/>
    </xf>
    <xf numFmtId="0" fontId="14" fillId="0" borderId="12" xfId="0" applyFont="1" applyFill="1" applyBorder="1" applyAlignment="1">
      <alignment horizontal="center" wrapText="1"/>
    </xf>
    <xf numFmtId="0" fontId="14" fillId="0" borderId="13" xfId="0" applyFont="1" applyFill="1" applyBorder="1" applyAlignment="1">
      <alignment horizontal="center" wrapText="1"/>
    </xf>
    <xf numFmtId="0" fontId="14" fillId="0" borderId="14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1001"/>
  <sheetViews>
    <sheetView tabSelected="1" topLeftCell="A21" zoomScale="85" zoomScaleNormal="85" zoomScaleSheetLayoutView="85" zoomScalePageLayoutView="85" workbookViewId="0">
      <selection activeCell="Z41" sqref="Z41"/>
    </sheetView>
  </sheetViews>
  <sheetFormatPr defaultColWidth="14.44140625" defaultRowHeight="15" customHeight="1"/>
  <cols>
    <col min="1" max="1" width="6.5546875" customWidth="1"/>
    <col min="2" max="2" width="4.44140625" customWidth="1"/>
    <col min="3" max="3" width="3.88671875" customWidth="1"/>
    <col min="4" max="4" width="3.44140625" customWidth="1"/>
    <col min="5" max="5" width="3.88671875" customWidth="1"/>
    <col min="6" max="6" width="4.109375" customWidth="1"/>
    <col min="7" max="7" width="4" customWidth="1"/>
    <col min="8" max="8" width="4.33203125" customWidth="1"/>
    <col min="9" max="9" width="3.88671875" customWidth="1"/>
    <col min="10" max="10" width="4.6640625" bestFit="1" customWidth="1"/>
    <col min="11" max="11" width="3.44140625" customWidth="1"/>
    <col min="12" max="12" width="3.6640625" customWidth="1"/>
    <col min="13" max="13" width="3.88671875" customWidth="1"/>
    <col min="14" max="14" width="4" customWidth="1"/>
    <col min="15" max="16" width="3.88671875" customWidth="1"/>
    <col min="17" max="17" width="4.33203125" customWidth="1"/>
    <col min="18" max="18" width="3.6640625" customWidth="1"/>
    <col min="19" max="19" width="3.44140625" customWidth="1"/>
    <col min="20" max="20" width="5.109375" customWidth="1"/>
    <col min="21" max="21" width="4.6640625" customWidth="1"/>
    <col min="22" max="22" width="4.44140625" customWidth="1"/>
    <col min="23" max="23" width="3.5546875" customWidth="1"/>
    <col min="24" max="25" width="4.33203125" customWidth="1"/>
    <col min="26" max="26" width="8" customWidth="1"/>
  </cols>
  <sheetData>
    <row r="1" spans="1:29" ht="14.25" customHeight="1">
      <c r="A1" s="86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8"/>
    </row>
    <row r="2" spans="1:29" ht="14.25" customHeight="1">
      <c r="A2" s="77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9"/>
    </row>
    <row r="3" spans="1:29" ht="14.25" customHeight="1">
      <c r="A3" s="80" t="s">
        <v>116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2"/>
    </row>
    <row r="4" spans="1:29" ht="19.5" customHeight="1">
      <c r="A4" s="83" t="s">
        <v>111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5"/>
    </row>
    <row r="5" spans="1:29" ht="19.5" customHeight="1">
      <c r="A5" s="72" t="s">
        <v>120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4"/>
    </row>
    <row r="6" spans="1:29" ht="19.5" customHeight="1">
      <c r="A6" s="39"/>
      <c r="B6" s="72" t="s">
        <v>2</v>
      </c>
      <c r="C6" s="73"/>
      <c r="D6" s="73"/>
      <c r="E6" s="73"/>
      <c r="F6" s="73"/>
      <c r="G6" s="73"/>
      <c r="H6" s="73"/>
      <c r="I6" s="74"/>
      <c r="J6" s="72" t="s">
        <v>3</v>
      </c>
      <c r="K6" s="73"/>
      <c r="L6" s="73"/>
      <c r="M6" s="73"/>
      <c r="N6" s="73"/>
      <c r="O6" s="73"/>
      <c r="P6" s="73"/>
      <c r="Q6" s="74"/>
      <c r="R6" s="72" t="s">
        <v>4</v>
      </c>
      <c r="S6" s="73"/>
      <c r="T6" s="73"/>
      <c r="U6" s="73"/>
      <c r="V6" s="73"/>
      <c r="W6" s="73"/>
      <c r="X6" s="73"/>
      <c r="Y6" s="74"/>
      <c r="Z6" s="1"/>
    </row>
    <row r="7" spans="1:29" ht="37.5" customHeight="1">
      <c r="A7" s="40" t="s">
        <v>5</v>
      </c>
      <c r="B7" s="75" t="s">
        <v>6</v>
      </c>
      <c r="C7" s="76"/>
      <c r="D7" s="75" t="s">
        <v>7</v>
      </c>
      <c r="E7" s="76"/>
      <c r="F7" s="75" t="s">
        <v>8</v>
      </c>
      <c r="G7" s="76"/>
      <c r="H7" s="68" t="s">
        <v>9</v>
      </c>
      <c r="I7" s="69"/>
      <c r="J7" s="75" t="s">
        <v>6</v>
      </c>
      <c r="K7" s="76"/>
      <c r="L7" s="75" t="s">
        <v>7</v>
      </c>
      <c r="M7" s="76"/>
      <c r="N7" s="75" t="s">
        <v>8</v>
      </c>
      <c r="O7" s="76"/>
      <c r="P7" s="68" t="s">
        <v>9</v>
      </c>
      <c r="Q7" s="69"/>
      <c r="R7" s="70" t="s">
        <v>6</v>
      </c>
      <c r="S7" s="71"/>
      <c r="T7" s="70" t="s">
        <v>7</v>
      </c>
      <c r="U7" s="71"/>
      <c r="V7" s="70" t="s">
        <v>8</v>
      </c>
      <c r="W7" s="71"/>
      <c r="X7" s="68" t="s">
        <v>9</v>
      </c>
      <c r="Y7" s="69"/>
      <c r="Z7" s="1"/>
      <c r="AA7" t="s">
        <v>119</v>
      </c>
      <c r="AC7" t="s">
        <v>118</v>
      </c>
    </row>
    <row r="8" spans="1:29" ht="19.5" customHeight="1">
      <c r="A8" s="39"/>
      <c r="B8" s="41" t="s">
        <v>10</v>
      </c>
      <c r="C8" s="41" t="s">
        <v>11</v>
      </c>
      <c r="D8" s="41" t="s">
        <v>10</v>
      </c>
      <c r="E8" s="41" t="s">
        <v>11</v>
      </c>
      <c r="F8" s="41" t="s">
        <v>10</v>
      </c>
      <c r="G8" s="41" t="s">
        <v>11</v>
      </c>
      <c r="H8" s="45" t="s">
        <v>10</v>
      </c>
      <c r="I8" s="45" t="s">
        <v>11</v>
      </c>
      <c r="J8" s="41" t="s">
        <v>10</v>
      </c>
      <c r="K8" s="41" t="s">
        <v>11</v>
      </c>
      <c r="L8" s="41" t="s">
        <v>10</v>
      </c>
      <c r="M8" s="41" t="s">
        <v>11</v>
      </c>
      <c r="N8" s="41" t="s">
        <v>10</v>
      </c>
      <c r="O8" s="41" t="s">
        <v>11</v>
      </c>
      <c r="P8" s="45" t="s">
        <v>10</v>
      </c>
      <c r="Q8" s="45" t="s">
        <v>11</v>
      </c>
      <c r="R8" s="47" t="s">
        <v>10</v>
      </c>
      <c r="S8" s="47" t="s">
        <v>11</v>
      </c>
      <c r="T8" s="47" t="s">
        <v>10</v>
      </c>
      <c r="U8" s="47" t="s">
        <v>11</v>
      </c>
      <c r="V8" s="47" t="s">
        <v>10</v>
      </c>
      <c r="W8" s="47" t="s">
        <v>11</v>
      </c>
      <c r="X8" s="47" t="s">
        <v>10</v>
      </c>
      <c r="Y8" s="47" t="s">
        <v>11</v>
      </c>
      <c r="Z8" s="1"/>
    </row>
    <row r="9" spans="1:29" ht="19.5" customHeight="1">
      <c r="A9" s="41">
        <v>1</v>
      </c>
      <c r="B9" s="39">
        <v>0</v>
      </c>
      <c r="C9" s="39">
        <v>0</v>
      </c>
      <c r="D9" s="39">
        <v>0</v>
      </c>
      <c r="E9" s="39">
        <v>0</v>
      </c>
      <c r="F9" s="39">
        <v>0</v>
      </c>
      <c r="G9" s="39">
        <v>0</v>
      </c>
      <c r="H9" s="46">
        <f>SUM(B9+D9+F9)</f>
        <v>0</v>
      </c>
      <c r="I9" s="46">
        <f>SUM(C9+E9+G9)</f>
        <v>0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46">
        <f>SUM(J9+L9+N9)</f>
        <v>0</v>
      </c>
      <c r="Q9" s="46">
        <f>SUM(K9+M9+O9)</f>
        <v>0</v>
      </c>
      <c r="R9" s="48">
        <f t="shared" ref="R9:W9" si="0">SUM(B9+J9)</f>
        <v>0</v>
      </c>
      <c r="S9" s="48">
        <f t="shared" si="0"/>
        <v>0</v>
      </c>
      <c r="T9" s="48">
        <f t="shared" si="0"/>
        <v>0</v>
      </c>
      <c r="U9" s="48">
        <f t="shared" si="0"/>
        <v>0</v>
      </c>
      <c r="V9" s="48">
        <f t="shared" si="0"/>
        <v>0</v>
      </c>
      <c r="W9" s="48">
        <f t="shared" si="0"/>
        <v>0</v>
      </c>
      <c r="X9" s="46">
        <f>SUM(R9+T9+V9)</f>
        <v>0</v>
      </c>
      <c r="Y9" s="46">
        <f>SUM(S9+U9+W9)</f>
        <v>0</v>
      </c>
      <c r="AA9">
        <f>SUM(X9+Y9)</f>
        <v>0</v>
      </c>
      <c r="AC9">
        <f>SUM(H9+I9)</f>
        <v>0</v>
      </c>
    </row>
    <row r="10" spans="1:29" ht="19.5" customHeight="1">
      <c r="A10" s="41">
        <v>2</v>
      </c>
      <c r="B10" s="39">
        <v>0</v>
      </c>
      <c r="C10" s="39">
        <v>0</v>
      </c>
      <c r="D10" s="39">
        <v>0</v>
      </c>
      <c r="E10" s="39">
        <v>0</v>
      </c>
      <c r="F10" s="39">
        <v>0</v>
      </c>
      <c r="G10" s="39">
        <v>0</v>
      </c>
      <c r="H10" s="46">
        <f t="shared" ref="H10:H22" si="1">SUM(B10+D10+F10)</f>
        <v>0</v>
      </c>
      <c r="I10" s="46">
        <f t="shared" ref="I10:I22" si="2">SUM(C10+E10+G10)</f>
        <v>0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46">
        <f t="shared" ref="P10:P22" si="3">SUM(J10+L10+N10)</f>
        <v>0</v>
      </c>
      <c r="Q10" s="46">
        <f t="shared" ref="Q10:Q22" si="4">SUM(K10+M10+O10)</f>
        <v>0</v>
      </c>
      <c r="R10" s="48">
        <f t="shared" ref="R10:W10" si="5">SUM(B10+J10)</f>
        <v>0</v>
      </c>
      <c r="S10" s="48">
        <f t="shared" si="5"/>
        <v>0</v>
      </c>
      <c r="T10" s="48">
        <f t="shared" si="5"/>
        <v>0</v>
      </c>
      <c r="U10" s="48">
        <f t="shared" si="5"/>
        <v>0</v>
      </c>
      <c r="V10" s="48">
        <f t="shared" si="5"/>
        <v>0</v>
      </c>
      <c r="W10" s="48">
        <f t="shared" si="5"/>
        <v>0</v>
      </c>
      <c r="X10" s="46">
        <f>SUM(R10+T10+V10)</f>
        <v>0</v>
      </c>
      <c r="Y10" s="46">
        <f t="shared" ref="Y10" si="6">SUM(S10+U10+W10)</f>
        <v>0</v>
      </c>
      <c r="AA10" s="54">
        <f t="shared" ref="AA10:AA39" si="7">SUM(X10+Y10)</f>
        <v>0</v>
      </c>
      <c r="AC10" s="55">
        <f t="shared" ref="AC10:AC39" si="8">SUM(H10+I10)</f>
        <v>0</v>
      </c>
    </row>
    <row r="11" spans="1:29" ht="19.5" customHeight="1">
      <c r="A11" s="41">
        <v>3</v>
      </c>
      <c r="B11" s="39">
        <v>1</v>
      </c>
      <c r="C11" s="39">
        <v>1</v>
      </c>
      <c r="D11" s="39">
        <v>2</v>
      </c>
      <c r="E11" s="39">
        <v>2</v>
      </c>
      <c r="F11" s="39">
        <v>0</v>
      </c>
      <c r="G11" s="39">
        <v>1</v>
      </c>
      <c r="H11" s="46">
        <f t="shared" si="1"/>
        <v>3</v>
      </c>
      <c r="I11" s="46">
        <f t="shared" si="2"/>
        <v>4</v>
      </c>
      <c r="J11" s="39">
        <v>2</v>
      </c>
      <c r="K11" s="39">
        <v>1</v>
      </c>
      <c r="L11" s="39">
        <v>3</v>
      </c>
      <c r="M11" s="39">
        <v>4</v>
      </c>
      <c r="N11" s="39">
        <v>1</v>
      </c>
      <c r="O11" s="39">
        <v>0</v>
      </c>
      <c r="P11" s="46">
        <f t="shared" si="3"/>
        <v>6</v>
      </c>
      <c r="Q11" s="46">
        <f t="shared" si="4"/>
        <v>5</v>
      </c>
      <c r="R11" s="48">
        <f t="shared" ref="R11:W11" si="9">SUM(B11+J11)</f>
        <v>3</v>
      </c>
      <c r="S11" s="48">
        <f t="shared" si="9"/>
        <v>2</v>
      </c>
      <c r="T11" s="48">
        <f t="shared" si="9"/>
        <v>5</v>
      </c>
      <c r="U11" s="48">
        <f t="shared" si="9"/>
        <v>6</v>
      </c>
      <c r="V11" s="48">
        <f t="shared" si="9"/>
        <v>1</v>
      </c>
      <c r="W11" s="48">
        <f t="shared" si="9"/>
        <v>1</v>
      </c>
      <c r="X11" s="46">
        <f t="shared" ref="X11:Y11" si="10">SUM(R11+T11+V11)</f>
        <v>9</v>
      </c>
      <c r="Y11" s="46">
        <f t="shared" si="10"/>
        <v>9</v>
      </c>
      <c r="AA11" s="54">
        <f t="shared" si="7"/>
        <v>18</v>
      </c>
      <c r="AC11" s="55">
        <f t="shared" si="8"/>
        <v>7</v>
      </c>
    </row>
    <row r="12" spans="1:29" ht="19.5" customHeight="1">
      <c r="A12" s="41">
        <v>4</v>
      </c>
      <c r="B12" s="39">
        <v>1</v>
      </c>
      <c r="C12" s="39">
        <v>1</v>
      </c>
      <c r="D12" s="39">
        <v>2</v>
      </c>
      <c r="E12" s="39">
        <v>2</v>
      </c>
      <c r="F12" s="39">
        <v>0</v>
      </c>
      <c r="G12" s="39">
        <v>0</v>
      </c>
      <c r="H12" s="46">
        <f t="shared" si="1"/>
        <v>3</v>
      </c>
      <c r="I12" s="46">
        <f t="shared" si="2"/>
        <v>3</v>
      </c>
      <c r="J12" s="39">
        <v>1</v>
      </c>
      <c r="K12" s="39">
        <v>2</v>
      </c>
      <c r="L12" s="39">
        <v>3</v>
      </c>
      <c r="M12" s="39">
        <v>1</v>
      </c>
      <c r="N12" s="39">
        <v>0</v>
      </c>
      <c r="O12" s="39">
        <v>2</v>
      </c>
      <c r="P12" s="46">
        <f t="shared" si="3"/>
        <v>4</v>
      </c>
      <c r="Q12" s="46">
        <f t="shared" si="4"/>
        <v>5</v>
      </c>
      <c r="R12" s="48">
        <f t="shared" ref="R12:W12" si="11">SUM(B12+J12)</f>
        <v>2</v>
      </c>
      <c r="S12" s="48">
        <f t="shared" si="11"/>
        <v>3</v>
      </c>
      <c r="T12" s="48">
        <f t="shared" si="11"/>
        <v>5</v>
      </c>
      <c r="U12" s="48">
        <f t="shared" si="11"/>
        <v>3</v>
      </c>
      <c r="V12" s="48">
        <f t="shared" si="11"/>
        <v>0</v>
      </c>
      <c r="W12" s="48">
        <f t="shared" si="11"/>
        <v>2</v>
      </c>
      <c r="X12" s="46">
        <f>SUM(R12+T12+V12)</f>
        <v>7</v>
      </c>
      <c r="Y12" s="46">
        <f>SUM(S12+U12+W12)</f>
        <v>8</v>
      </c>
      <c r="AA12" s="54">
        <f t="shared" si="7"/>
        <v>15</v>
      </c>
      <c r="AC12" s="55">
        <f t="shared" si="8"/>
        <v>6</v>
      </c>
    </row>
    <row r="13" spans="1:29" ht="19.5" customHeight="1">
      <c r="A13" s="41">
        <v>5</v>
      </c>
      <c r="B13" s="39">
        <v>1</v>
      </c>
      <c r="C13" s="39">
        <v>1</v>
      </c>
      <c r="D13" s="39">
        <v>1</v>
      </c>
      <c r="E13" s="39">
        <v>0</v>
      </c>
      <c r="F13" s="39">
        <v>0</v>
      </c>
      <c r="G13" s="39">
        <v>1</v>
      </c>
      <c r="H13" s="46">
        <f t="shared" si="1"/>
        <v>2</v>
      </c>
      <c r="I13" s="46">
        <f t="shared" si="2"/>
        <v>2</v>
      </c>
      <c r="J13" s="39">
        <v>0</v>
      </c>
      <c r="K13" s="39">
        <v>2</v>
      </c>
      <c r="L13" s="39">
        <v>1</v>
      </c>
      <c r="M13" s="39">
        <v>1</v>
      </c>
      <c r="N13" s="39">
        <v>1</v>
      </c>
      <c r="O13" s="39">
        <v>0</v>
      </c>
      <c r="P13" s="46">
        <f t="shared" si="3"/>
        <v>2</v>
      </c>
      <c r="Q13" s="46">
        <f t="shared" si="4"/>
        <v>3</v>
      </c>
      <c r="R13" s="48">
        <f t="shared" ref="R13:W13" si="12">SUM(B13+J13)</f>
        <v>1</v>
      </c>
      <c r="S13" s="48">
        <f t="shared" si="12"/>
        <v>3</v>
      </c>
      <c r="T13" s="48">
        <f t="shared" si="12"/>
        <v>2</v>
      </c>
      <c r="U13" s="48">
        <f t="shared" si="12"/>
        <v>1</v>
      </c>
      <c r="V13" s="48">
        <f t="shared" si="12"/>
        <v>1</v>
      </c>
      <c r="W13" s="48">
        <f t="shared" si="12"/>
        <v>1</v>
      </c>
      <c r="X13" s="46">
        <f t="shared" ref="X13:X22" si="13">SUM(R13+T13+V13)</f>
        <v>4</v>
      </c>
      <c r="Y13" s="46">
        <f t="shared" ref="Y13:Y22" si="14">SUM(S13+U13+W13)</f>
        <v>5</v>
      </c>
      <c r="AA13" s="54">
        <f t="shared" si="7"/>
        <v>9</v>
      </c>
      <c r="AC13" s="55">
        <f t="shared" si="8"/>
        <v>4</v>
      </c>
    </row>
    <row r="14" spans="1:29" ht="19.5" customHeight="1">
      <c r="A14" s="41">
        <v>6</v>
      </c>
      <c r="B14" s="39">
        <v>0</v>
      </c>
      <c r="C14" s="39">
        <v>0</v>
      </c>
      <c r="D14" s="39">
        <v>0</v>
      </c>
      <c r="E14" s="39">
        <v>0</v>
      </c>
      <c r="F14" s="39">
        <v>0</v>
      </c>
      <c r="G14" s="39">
        <v>0</v>
      </c>
      <c r="H14" s="46">
        <f t="shared" si="1"/>
        <v>0</v>
      </c>
      <c r="I14" s="46">
        <f t="shared" si="2"/>
        <v>0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46">
        <f t="shared" si="3"/>
        <v>0</v>
      </c>
      <c r="Q14" s="46">
        <f t="shared" si="4"/>
        <v>0</v>
      </c>
      <c r="R14" s="48">
        <f t="shared" ref="R14:W14" si="15">SUM(B14+J14)</f>
        <v>0</v>
      </c>
      <c r="S14" s="48">
        <f t="shared" si="15"/>
        <v>0</v>
      </c>
      <c r="T14" s="48">
        <f t="shared" si="15"/>
        <v>0</v>
      </c>
      <c r="U14" s="48">
        <f t="shared" si="15"/>
        <v>0</v>
      </c>
      <c r="V14" s="48">
        <f t="shared" si="15"/>
        <v>0</v>
      </c>
      <c r="W14" s="48">
        <f t="shared" si="15"/>
        <v>0</v>
      </c>
      <c r="X14" s="46">
        <f t="shared" si="13"/>
        <v>0</v>
      </c>
      <c r="Y14" s="49">
        <f t="shared" si="14"/>
        <v>0</v>
      </c>
      <c r="Z14" s="51"/>
      <c r="AA14" s="54">
        <f t="shared" si="7"/>
        <v>0</v>
      </c>
      <c r="AC14" s="55">
        <f t="shared" si="8"/>
        <v>0</v>
      </c>
    </row>
    <row r="15" spans="1:29" ht="19.5" customHeight="1">
      <c r="A15" s="41">
        <v>7</v>
      </c>
      <c r="B15" s="39">
        <v>2</v>
      </c>
      <c r="C15" s="39">
        <v>2</v>
      </c>
      <c r="D15" s="39">
        <v>1</v>
      </c>
      <c r="E15" s="39">
        <v>1</v>
      </c>
      <c r="F15" s="39">
        <v>1</v>
      </c>
      <c r="G15" s="39">
        <v>1</v>
      </c>
      <c r="H15" s="46">
        <f t="shared" si="1"/>
        <v>4</v>
      </c>
      <c r="I15" s="46">
        <f t="shared" si="2"/>
        <v>4</v>
      </c>
      <c r="J15" s="39">
        <v>1</v>
      </c>
      <c r="K15" s="39">
        <v>3</v>
      </c>
      <c r="L15" s="39">
        <v>3</v>
      </c>
      <c r="M15" s="39">
        <v>4</v>
      </c>
      <c r="N15" s="39">
        <v>2</v>
      </c>
      <c r="O15" s="39">
        <v>0</v>
      </c>
      <c r="P15" s="46">
        <f t="shared" si="3"/>
        <v>6</v>
      </c>
      <c r="Q15" s="46">
        <f t="shared" si="4"/>
        <v>7</v>
      </c>
      <c r="R15" s="48">
        <f t="shared" ref="R15:W15" si="16">SUM(B15+J15)</f>
        <v>3</v>
      </c>
      <c r="S15" s="48">
        <f t="shared" si="16"/>
        <v>5</v>
      </c>
      <c r="T15" s="48">
        <f t="shared" si="16"/>
        <v>4</v>
      </c>
      <c r="U15" s="48">
        <f t="shared" si="16"/>
        <v>5</v>
      </c>
      <c r="V15" s="48">
        <f t="shared" si="16"/>
        <v>3</v>
      </c>
      <c r="W15" s="48">
        <f t="shared" si="16"/>
        <v>1</v>
      </c>
      <c r="X15" s="46">
        <f t="shared" si="13"/>
        <v>10</v>
      </c>
      <c r="Y15" s="46">
        <f t="shared" si="14"/>
        <v>11</v>
      </c>
      <c r="AA15" s="54">
        <f t="shared" si="7"/>
        <v>21</v>
      </c>
      <c r="AC15" s="55">
        <f t="shared" si="8"/>
        <v>8</v>
      </c>
    </row>
    <row r="16" spans="1:29" ht="19.5" customHeight="1">
      <c r="A16" s="41">
        <v>8</v>
      </c>
      <c r="B16" s="39">
        <v>1</v>
      </c>
      <c r="C16" s="39">
        <v>1</v>
      </c>
      <c r="D16" s="39">
        <v>1</v>
      </c>
      <c r="E16" s="39">
        <v>2</v>
      </c>
      <c r="F16" s="39">
        <v>0</v>
      </c>
      <c r="G16" s="39">
        <v>0</v>
      </c>
      <c r="H16" s="46">
        <f t="shared" si="1"/>
        <v>2</v>
      </c>
      <c r="I16" s="46">
        <f t="shared" si="2"/>
        <v>3</v>
      </c>
      <c r="J16" s="39">
        <v>1</v>
      </c>
      <c r="K16" s="39">
        <v>0</v>
      </c>
      <c r="L16" s="39">
        <v>4</v>
      </c>
      <c r="M16" s="39">
        <v>3</v>
      </c>
      <c r="N16" s="39">
        <v>2</v>
      </c>
      <c r="O16" s="39">
        <v>1</v>
      </c>
      <c r="P16" s="46">
        <f t="shared" si="3"/>
        <v>7</v>
      </c>
      <c r="Q16" s="46">
        <f t="shared" si="4"/>
        <v>4</v>
      </c>
      <c r="R16" s="48">
        <f t="shared" ref="R16:W16" si="17">SUM(B16+J16)</f>
        <v>2</v>
      </c>
      <c r="S16" s="48">
        <f t="shared" si="17"/>
        <v>1</v>
      </c>
      <c r="T16" s="48">
        <f t="shared" si="17"/>
        <v>5</v>
      </c>
      <c r="U16" s="48">
        <f t="shared" si="17"/>
        <v>5</v>
      </c>
      <c r="V16" s="48">
        <f t="shared" si="17"/>
        <v>2</v>
      </c>
      <c r="W16" s="48">
        <f t="shared" si="17"/>
        <v>1</v>
      </c>
      <c r="X16" s="46">
        <f t="shared" si="13"/>
        <v>9</v>
      </c>
      <c r="Y16" s="46">
        <f t="shared" si="14"/>
        <v>7</v>
      </c>
      <c r="AA16" s="54">
        <f t="shared" si="7"/>
        <v>16</v>
      </c>
      <c r="AC16" s="55">
        <f t="shared" si="8"/>
        <v>5</v>
      </c>
    </row>
    <row r="17" spans="1:29" ht="19.5" customHeight="1">
      <c r="A17" s="41">
        <v>9</v>
      </c>
      <c r="B17" s="39">
        <v>0</v>
      </c>
      <c r="C17" s="39">
        <v>0</v>
      </c>
      <c r="D17" s="39">
        <v>2</v>
      </c>
      <c r="E17" s="39">
        <v>2</v>
      </c>
      <c r="F17" s="39">
        <v>1</v>
      </c>
      <c r="G17" s="39">
        <v>1</v>
      </c>
      <c r="H17" s="46">
        <f t="shared" si="1"/>
        <v>3</v>
      </c>
      <c r="I17" s="46">
        <f t="shared" si="2"/>
        <v>3</v>
      </c>
      <c r="J17" s="39">
        <v>2</v>
      </c>
      <c r="K17" s="39">
        <v>1</v>
      </c>
      <c r="L17" s="39">
        <v>3</v>
      </c>
      <c r="M17" s="39">
        <v>5</v>
      </c>
      <c r="N17" s="39">
        <v>2</v>
      </c>
      <c r="O17" s="39">
        <v>1</v>
      </c>
      <c r="P17" s="46">
        <f t="shared" si="3"/>
        <v>7</v>
      </c>
      <c r="Q17" s="46">
        <f t="shared" si="4"/>
        <v>7</v>
      </c>
      <c r="R17" s="48">
        <f t="shared" ref="R17:W17" si="18">SUM(B17+J17)</f>
        <v>2</v>
      </c>
      <c r="S17" s="48">
        <f t="shared" si="18"/>
        <v>1</v>
      </c>
      <c r="T17" s="48">
        <f t="shared" si="18"/>
        <v>5</v>
      </c>
      <c r="U17" s="48">
        <f t="shared" si="18"/>
        <v>7</v>
      </c>
      <c r="V17" s="48">
        <f t="shared" si="18"/>
        <v>3</v>
      </c>
      <c r="W17" s="48">
        <f t="shared" si="18"/>
        <v>2</v>
      </c>
      <c r="X17" s="46">
        <f t="shared" si="13"/>
        <v>10</v>
      </c>
      <c r="Y17" s="46">
        <f t="shared" si="14"/>
        <v>10</v>
      </c>
      <c r="AA17" s="54">
        <f t="shared" si="7"/>
        <v>20</v>
      </c>
      <c r="AC17" s="55">
        <f t="shared" si="8"/>
        <v>6</v>
      </c>
    </row>
    <row r="18" spans="1:29" ht="19.5" customHeight="1">
      <c r="A18" s="41">
        <v>10</v>
      </c>
      <c r="B18" s="39">
        <v>2</v>
      </c>
      <c r="C18" s="39">
        <v>1</v>
      </c>
      <c r="D18" s="39">
        <v>0</v>
      </c>
      <c r="E18" s="39">
        <v>1</v>
      </c>
      <c r="F18" s="39">
        <v>0</v>
      </c>
      <c r="G18" s="39">
        <v>1</v>
      </c>
      <c r="H18" s="46">
        <f t="shared" si="1"/>
        <v>2</v>
      </c>
      <c r="I18" s="46">
        <f t="shared" si="2"/>
        <v>3</v>
      </c>
      <c r="J18" s="39">
        <v>1</v>
      </c>
      <c r="K18" s="39">
        <v>3</v>
      </c>
      <c r="L18" s="39">
        <v>4</v>
      </c>
      <c r="M18" s="39">
        <v>1</v>
      </c>
      <c r="N18" s="39">
        <v>2</v>
      </c>
      <c r="O18" s="39">
        <v>1</v>
      </c>
      <c r="P18" s="46">
        <f t="shared" si="3"/>
        <v>7</v>
      </c>
      <c r="Q18" s="46">
        <f t="shared" si="4"/>
        <v>5</v>
      </c>
      <c r="R18" s="48">
        <f t="shared" ref="R18:W18" si="19">SUM(B18+J18)</f>
        <v>3</v>
      </c>
      <c r="S18" s="48">
        <f t="shared" si="19"/>
        <v>4</v>
      </c>
      <c r="T18" s="48">
        <f t="shared" si="19"/>
        <v>4</v>
      </c>
      <c r="U18" s="48">
        <f t="shared" si="19"/>
        <v>2</v>
      </c>
      <c r="V18" s="48">
        <f t="shared" si="19"/>
        <v>2</v>
      </c>
      <c r="W18" s="48">
        <f t="shared" si="19"/>
        <v>2</v>
      </c>
      <c r="X18" s="46">
        <f t="shared" si="13"/>
        <v>9</v>
      </c>
      <c r="Y18" s="46">
        <f t="shared" si="14"/>
        <v>8</v>
      </c>
      <c r="AA18" s="54">
        <f t="shared" si="7"/>
        <v>17</v>
      </c>
      <c r="AC18" s="55">
        <f t="shared" si="8"/>
        <v>5</v>
      </c>
    </row>
    <row r="19" spans="1:29" ht="19.5" customHeight="1">
      <c r="A19" s="41">
        <v>11</v>
      </c>
      <c r="B19" s="39">
        <v>0</v>
      </c>
      <c r="C19" s="39">
        <v>1</v>
      </c>
      <c r="D19" s="39">
        <v>3</v>
      </c>
      <c r="E19" s="39">
        <v>0</v>
      </c>
      <c r="F19" s="39">
        <v>1</v>
      </c>
      <c r="G19" s="39">
        <v>1</v>
      </c>
      <c r="H19" s="46">
        <f t="shared" si="1"/>
        <v>4</v>
      </c>
      <c r="I19" s="46">
        <f t="shared" si="2"/>
        <v>2</v>
      </c>
      <c r="J19" s="39">
        <v>2</v>
      </c>
      <c r="K19" s="39">
        <v>1</v>
      </c>
      <c r="L19" s="39">
        <v>1</v>
      </c>
      <c r="M19" s="39">
        <v>3</v>
      </c>
      <c r="N19" s="39">
        <v>2</v>
      </c>
      <c r="O19" s="39">
        <v>0</v>
      </c>
      <c r="P19" s="46">
        <f t="shared" si="3"/>
        <v>5</v>
      </c>
      <c r="Q19" s="46">
        <f t="shared" si="4"/>
        <v>4</v>
      </c>
      <c r="R19" s="48">
        <f t="shared" ref="R19:R20" si="20">SUM(B19+J19)</f>
        <v>2</v>
      </c>
      <c r="S19" s="48">
        <f t="shared" ref="S19:S20" si="21">SUM(C19+K19)</f>
        <v>2</v>
      </c>
      <c r="T19" s="48">
        <f t="shared" ref="T19:T20" si="22">SUM(D19+L19)</f>
        <v>4</v>
      </c>
      <c r="U19" s="48">
        <f t="shared" ref="U19:U20" si="23">SUM(E19+M19)</f>
        <v>3</v>
      </c>
      <c r="V19" s="48">
        <f t="shared" ref="V19:V20" si="24">SUM(F19+N19)</f>
        <v>3</v>
      </c>
      <c r="W19" s="48">
        <f t="shared" ref="W19:W20" si="25">SUM(G19+O19)</f>
        <v>1</v>
      </c>
      <c r="X19" s="46">
        <f t="shared" si="13"/>
        <v>9</v>
      </c>
      <c r="Y19" s="46">
        <f t="shared" si="14"/>
        <v>6</v>
      </c>
      <c r="AA19" s="54">
        <f t="shared" si="7"/>
        <v>15</v>
      </c>
      <c r="AC19" s="55">
        <f t="shared" si="8"/>
        <v>6</v>
      </c>
    </row>
    <row r="20" spans="1:29" ht="19.5" customHeight="1">
      <c r="A20" s="41">
        <v>12</v>
      </c>
      <c r="B20" s="44">
        <v>0</v>
      </c>
      <c r="C20" s="39">
        <v>0</v>
      </c>
      <c r="D20" s="39">
        <v>1</v>
      </c>
      <c r="E20" s="39">
        <v>1</v>
      </c>
      <c r="F20" s="39">
        <v>1</v>
      </c>
      <c r="G20" s="39">
        <v>0</v>
      </c>
      <c r="H20" s="46">
        <f t="shared" si="1"/>
        <v>2</v>
      </c>
      <c r="I20" s="46">
        <f t="shared" si="2"/>
        <v>1</v>
      </c>
      <c r="J20" s="39">
        <v>2</v>
      </c>
      <c r="K20" s="39">
        <v>2</v>
      </c>
      <c r="L20" s="39">
        <v>2</v>
      </c>
      <c r="M20" s="39">
        <v>0</v>
      </c>
      <c r="N20" s="39">
        <v>1</v>
      </c>
      <c r="O20" s="39">
        <v>0</v>
      </c>
      <c r="P20" s="46">
        <f t="shared" si="3"/>
        <v>5</v>
      </c>
      <c r="Q20" s="46">
        <f t="shared" si="4"/>
        <v>2</v>
      </c>
      <c r="R20" s="48">
        <f t="shared" si="20"/>
        <v>2</v>
      </c>
      <c r="S20" s="48">
        <f t="shared" si="21"/>
        <v>2</v>
      </c>
      <c r="T20" s="48">
        <f t="shared" si="22"/>
        <v>3</v>
      </c>
      <c r="U20" s="48">
        <f t="shared" si="23"/>
        <v>1</v>
      </c>
      <c r="V20" s="48">
        <f t="shared" si="24"/>
        <v>2</v>
      </c>
      <c r="W20" s="48">
        <f t="shared" si="25"/>
        <v>0</v>
      </c>
      <c r="X20" s="46">
        <f t="shared" si="13"/>
        <v>7</v>
      </c>
      <c r="Y20" s="46">
        <f t="shared" si="14"/>
        <v>3</v>
      </c>
      <c r="AA20" s="54">
        <f t="shared" si="7"/>
        <v>10</v>
      </c>
      <c r="AC20" s="55">
        <f t="shared" si="8"/>
        <v>3</v>
      </c>
    </row>
    <row r="21" spans="1:29" ht="19.5" customHeight="1">
      <c r="A21" s="41">
        <v>13</v>
      </c>
      <c r="B21" s="39">
        <v>0</v>
      </c>
      <c r="C21" s="39">
        <v>0</v>
      </c>
      <c r="D21" s="39">
        <v>0</v>
      </c>
      <c r="E21" s="39">
        <v>0</v>
      </c>
      <c r="F21" s="39">
        <v>0</v>
      </c>
      <c r="G21" s="39">
        <v>0</v>
      </c>
      <c r="H21" s="46">
        <v>0</v>
      </c>
      <c r="I21" s="46">
        <v>0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46">
        <v>0</v>
      </c>
      <c r="Q21" s="46">
        <f t="shared" si="4"/>
        <v>0</v>
      </c>
      <c r="R21" s="48">
        <f t="shared" ref="R21:V21" si="26">SUM(B21+J21)</f>
        <v>0</v>
      </c>
      <c r="S21" s="48">
        <f t="shared" si="26"/>
        <v>0</v>
      </c>
      <c r="T21" s="48">
        <f t="shared" si="26"/>
        <v>0</v>
      </c>
      <c r="U21" s="48">
        <f t="shared" si="26"/>
        <v>0</v>
      </c>
      <c r="V21" s="48">
        <f t="shared" si="26"/>
        <v>0</v>
      </c>
      <c r="W21" s="48">
        <v>0</v>
      </c>
      <c r="X21" s="46">
        <f t="shared" si="13"/>
        <v>0</v>
      </c>
      <c r="Y21" s="46">
        <f t="shared" si="14"/>
        <v>0</v>
      </c>
      <c r="AA21" s="54">
        <f t="shared" si="7"/>
        <v>0</v>
      </c>
      <c r="AC21" s="55">
        <f t="shared" si="8"/>
        <v>0</v>
      </c>
    </row>
    <row r="22" spans="1:29" ht="19.5" customHeight="1">
      <c r="A22" s="41">
        <v>14</v>
      </c>
      <c r="B22" s="39">
        <v>2</v>
      </c>
      <c r="C22" s="39">
        <v>2</v>
      </c>
      <c r="D22" s="39">
        <v>1</v>
      </c>
      <c r="E22" s="39">
        <v>1</v>
      </c>
      <c r="F22" s="39">
        <v>0</v>
      </c>
      <c r="G22" s="39">
        <v>1</v>
      </c>
      <c r="H22" s="46">
        <f t="shared" si="1"/>
        <v>3</v>
      </c>
      <c r="I22" s="46">
        <f t="shared" si="2"/>
        <v>4</v>
      </c>
      <c r="J22" s="39">
        <v>1</v>
      </c>
      <c r="K22" s="39">
        <v>3</v>
      </c>
      <c r="L22" s="39">
        <v>3</v>
      </c>
      <c r="M22" s="39">
        <v>5</v>
      </c>
      <c r="N22" s="39">
        <v>2</v>
      </c>
      <c r="O22" s="39">
        <v>0</v>
      </c>
      <c r="P22" s="46">
        <f t="shared" si="3"/>
        <v>6</v>
      </c>
      <c r="Q22" s="46">
        <f t="shared" si="4"/>
        <v>8</v>
      </c>
      <c r="R22" s="48">
        <f t="shared" ref="R22:W22" si="27">SUM(B22+J22)</f>
        <v>3</v>
      </c>
      <c r="S22" s="48">
        <f t="shared" si="27"/>
        <v>5</v>
      </c>
      <c r="T22" s="48">
        <f t="shared" si="27"/>
        <v>4</v>
      </c>
      <c r="U22" s="48">
        <f t="shared" si="27"/>
        <v>6</v>
      </c>
      <c r="V22" s="48">
        <f t="shared" si="27"/>
        <v>2</v>
      </c>
      <c r="W22" s="48">
        <f t="shared" si="27"/>
        <v>1</v>
      </c>
      <c r="X22" s="46">
        <f t="shared" si="13"/>
        <v>9</v>
      </c>
      <c r="Y22" s="46">
        <f t="shared" si="14"/>
        <v>12</v>
      </c>
      <c r="AA22" s="54">
        <f t="shared" si="7"/>
        <v>21</v>
      </c>
      <c r="AC22" s="55">
        <f t="shared" si="8"/>
        <v>7</v>
      </c>
    </row>
    <row r="23" spans="1:29" ht="19.5" customHeight="1">
      <c r="A23" s="41">
        <v>15</v>
      </c>
      <c r="B23" s="39">
        <v>0</v>
      </c>
      <c r="C23" s="39">
        <v>0</v>
      </c>
      <c r="D23" s="39">
        <v>2</v>
      </c>
      <c r="E23" s="39">
        <v>2</v>
      </c>
      <c r="F23" s="39">
        <v>0</v>
      </c>
      <c r="G23" s="39">
        <v>1</v>
      </c>
      <c r="H23" s="46">
        <f t="shared" ref="H23:H39" si="28">SUM(B23+D23+F23)</f>
        <v>2</v>
      </c>
      <c r="I23" s="46">
        <f t="shared" ref="I23:I39" si="29">SUM(C23+E23+G23)</f>
        <v>3</v>
      </c>
      <c r="J23" s="39">
        <v>3</v>
      </c>
      <c r="K23" s="39">
        <v>2</v>
      </c>
      <c r="L23" s="39">
        <v>1</v>
      </c>
      <c r="M23" s="39">
        <v>4</v>
      </c>
      <c r="N23" s="39">
        <v>0</v>
      </c>
      <c r="O23" s="39">
        <v>2</v>
      </c>
      <c r="P23" s="46">
        <f t="shared" ref="P23:P39" si="30">SUM(J23+L23+N23)</f>
        <v>4</v>
      </c>
      <c r="Q23" s="46">
        <f t="shared" ref="Q23:Q39" si="31">SUM(K23+M23+O23)</f>
        <v>8</v>
      </c>
      <c r="R23" s="48">
        <f t="shared" ref="R23:R39" si="32">SUM(B23+J23)</f>
        <v>3</v>
      </c>
      <c r="S23" s="48">
        <f t="shared" ref="S23:S39" si="33">SUM(C23+K23)</f>
        <v>2</v>
      </c>
      <c r="T23" s="48">
        <f t="shared" ref="T23:T39" si="34">SUM(D23+L23)</f>
        <v>3</v>
      </c>
      <c r="U23" s="48">
        <f t="shared" ref="U23:U39" si="35">SUM(E23+M23)</f>
        <v>6</v>
      </c>
      <c r="V23" s="48">
        <f t="shared" ref="V23:V39" si="36">SUM(F23+N23)</f>
        <v>0</v>
      </c>
      <c r="W23" s="48">
        <f t="shared" ref="W23:W39" si="37">SUM(G23+O23)</f>
        <v>3</v>
      </c>
      <c r="X23" s="46">
        <f t="shared" ref="X23:X39" si="38">SUM(R23+T23+V23)</f>
        <v>6</v>
      </c>
      <c r="Y23" s="46">
        <f t="shared" ref="Y23:Y39" si="39">SUM(S23+U23+W23)</f>
        <v>11</v>
      </c>
      <c r="Z23" s="67"/>
      <c r="AA23" s="54">
        <f t="shared" si="7"/>
        <v>17</v>
      </c>
      <c r="AC23" s="55">
        <f t="shared" si="8"/>
        <v>5</v>
      </c>
    </row>
    <row r="24" spans="1:29" ht="19.5" customHeight="1">
      <c r="A24" s="41">
        <v>16</v>
      </c>
      <c r="B24" s="39">
        <v>1</v>
      </c>
      <c r="C24" s="39">
        <v>0</v>
      </c>
      <c r="D24" s="39">
        <v>0</v>
      </c>
      <c r="E24" s="39">
        <v>1</v>
      </c>
      <c r="F24" s="39">
        <v>2</v>
      </c>
      <c r="G24" s="39">
        <v>0</v>
      </c>
      <c r="H24" s="46">
        <f t="shared" si="28"/>
        <v>3</v>
      </c>
      <c r="I24" s="46">
        <f t="shared" si="29"/>
        <v>1</v>
      </c>
      <c r="J24" s="39">
        <v>2</v>
      </c>
      <c r="K24" s="39">
        <v>1</v>
      </c>
      <c r="L24" s="39">
        <v>4</v>
      </c>
      <c r="M24" s="39">
        <v>3</v>
      </c>
      <c r="N24" s="39">
        <v>1</v>
      </c>
      <c r="O24" s="39">
        <v>1</v>
      </c>
      <c r="P24" s="46">
        <f t="shared" si="30"/>
        <v>7</v>
      </c>
      <c r="Q24" s="46">
        <f t="shared" si="31"/>
        <v>5</v>
      </c>
      <c r="R24" s="48">
        <f t="shared" si="32"/>
        <v>3</v>
      </c>
      <c r="S24" s="48">
        <f t="shared" si="33"/>
        <v>1</v>
      </c>
      <c r="T24" s="48">
        <f t="shared" si="34"/>
        <v>4</v>
      </c>
      <c r="U24" s="48">
        <f t="shared" si="35"/>
        <v>4</v>
      </c>
      <c r="V24" s="48">
        <f t="shared" si="36"/>
        <v>3</v>
      </c>
      <c r="W24" s="48">
        <f t="shared" si="37"/>
        <v>1</v>
      </c>
      <c r="X24" s="46">
        <f t="shared" si="38"/>
        <v>10</v>
      </c>
      <c r="Y24" s="46">
        <f t="shared" si="39"/>
        <v>6</v>
      </c>
      <c r="AA24" s="54">
        <f t="shared" si="7"/>
        <v>16</v>
      </c>
      <c r="AC24" s="55">
        <f t="shared" si="8"/>
        <v>4</v>
      </c>
    </row>
    <row r="25" spans="1:29" ht="19.5" customHeight="1">
      <c r="A25" s="41">
        <v>17</v>
      </c>
      <c r="B25" s="39">
        <v>0</v>
      </c>
      <c r="C25" s="39">
        <v>0</v>
      </c>
      <c r="D25" s="39">
        <v>1</v>
      </c>
      <c r="E25" s="39">
        <v>1</v>
      </c>
      <c r="F25" s="39">
        <v>0</v>
      </c>
      <c r="G25" s="39">
        <v>0</v>
      </c>
      <c r="H25" s="46">
        <f t="shared" si="28"/>
        <v>1</v>
      </c>
      <c r="I25" s="46">
        <f t="shared" si="29"/>
        <v>1</v>
      </c>
      <c r="J25" s="39">
        <v>1</v>
      </c>
      <c r="K25" s="39">
        <v>1</v>
      </c>
      <c r="L25" s="39">
        <v>2</v>
      </c>
      <c r="M25" s="39">
        <v>2</v>
      </c>
      <c r="N25" s="39">
        <v>0</v>
      </c>
      <c r="O25" s="39">
        <v>0</v>
      </c>
      <c r="P25" s="46">
        <f t="shared" si="30"/>
        <v>3</v>
      </c>
      <c r="Q25" s="46">
        <f t="shared" si="31"/>
        <v>3</v>
      </c>
      <c r="R25" s="48">
        <f t="shared" si="32"/>
        <v>1</v>
      </c>
      <c r="S25" s="48">
        <f t="shared" si="33"/>
        <v>1</v>
      </c>
      <c r="T25" s="48">
        <f t="shared" si="34"/>
        <v>3</v>
      </c>
      <c r="U25" s="48">
        <f t="shared" si="35"/>
        <v>3</v>
      </c>
      <c r="V25" s="48">
        <f t="shared" si="36"/>
        <v>0</v>
      </c>
      <c r="W25" s="48">
        <f t="shared" si="37"/>
        <v>0</v>
      </c>
      <c r="X25" s="46">
        <f t="shared" si="38"/>
        <v>4</v>
      </c>
      <c r="Y25" s="46">
        <f t="shared" si="39"/>
        <v>4</v>
      </c>
      <c r="AA25" s="54">
        <f t="shared" si="7"/>
        <v>8</v>
      </c>
      <c r="AC25" s="55">
        <f t="shared" si="8"/>
        <v>2</v>
      </c>
    </row>
    <row r="26" spans="1:29" ht="19.5" customHeight="1">
      <c r="A26" s="41">
        <v>18</v>
      </c>
      <c r="B26" s="39">
        <v>0</v>
      </c>
      <c r="C26" s="39">
        <v>0</v>
      </c>
      <c r="D26" s="39">
        <v>0</v>
      </c>
      <c r="E26" s="39">
        <v>0</v>
      </c>
      <c r="F26" s="39">
        <v>0</v>
      </c>
      <c r="G26" s="39">
        <v>0</v>
      </c>
      <c r="H26" s="46">
        <f t="shared" si="28"/>
        <v>0</v>
      </c>
      <c r="I26" s="46">
        <f t="shared" si="29"/>
        <v>0</v>
      </c>
      <c r="J26" s="39">
        <v>0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46">
        <f t="shared" si="30"/>
        <v>0</v>
      </c>
      <c r="Q26" s="46">
        <f t="shared" si="31"/>
        <v>0</v>
      </c>
      <c r="R26" s="48">
        <f t="shared" si="32"/>
        <v>0</v>
      </c>
      <c r="S26" s="48">
        <f t="shared" si="33"/>
        <v>0</v>
      </c>
      <c r="T26" s="48">
        <f t="shared" si="34"/>
        <v>0</v>
      </c>
      <c r="U26" s="48">
        <f t="shared" si="35"/>
        <v>0</v>
      </c>
      <c r="V26" s="48">
        <f t="shared" si="36"/>
        <v>0</v>
      </c>
      <c r="W26" s="48">
        <f t="shared" si="37"/>
        <v>0</v>
      </c>
      <c r="X26" s="46">
        <f t="shared" si="38"/>
        <v>0</v>
      </c>
      <c r="Y26" s="46">
        <f t="shared" si="39"/>
        <v>0</v>
      </c>
      <c r="AA26" s="54">
        <f t="shared" si="7"/>
        <v>0</v>
      </c>
      <c r="AC26" s="55">
        <f t="shared" si="8"/>
        <v>0</v>
      </c>
    </row>
    <row r="27" spans="1:29" ht="19.5" customHeight="1">
      <c r="A27" s="41">
        <v>19</v>
      </c>
      <c r="B27" s="39">
        <v>0</v>
      </c>
      <c r="C27" s="39">
        <v>0</v>
      </c>
      <c r="D27" s="39">
        <v>1</v>
      </c>
      <c r="E27" s="39">
        <v>0</v>
      </c>
      <c r="F27" s="39">
        <v>0</v>
      </c>
      <c r="G27" s="39">
        <v>1</v>
      </c>
      <c r="H27" s="46">
        <f t="shared" si="28"/>
        <v>1</v>
      </c>
      <c r="I27" s="46">
        <f t="shared" si="29"/>
        <v>1</v>
      </c>
      <c r="J27" s="39">
        <v>0</v>
      </c>
      <c r="K27" s="39">
        <v>1</v>
      </c>
      <c r="L27" s="39">
        <v>2</v>
      </c>
      <c r="M27" s="39">
        <v>2</v>
      </c>
      <c r="N27" s="39">
        <v>0</v>
      </c>
      <c r="O27" s="39">
        <v>0</v>
      </c>
      <c r="P27" s="46">
        <f t="shared" si="30"/>
        <v>2</v>
      </c>
      <c r="Q27" s="46">
        <f t="shared" si="31"/>
        <v>3</v>
      </c>
      <c r="R27" s="48">
        <f t="shared" si="32"/>
        <v>0</v>
      </c>
      <c r="S27" s="48">
        <f t="shared" si="33"/>
        <v>1</v>
      </c>
      <c r="T27" s="48">
        <f t="shared" si="34"/>
        <v>3</v>
      </c>
      <c r="U27" s="48">
        <f t="shared" si="35"/>
        <v>2</v>
      </c>
      <c r="V27" s="48">
        <f t="shared" si="36"/>
        <v>0</v>
      </c>
      <c r="W27" s="48">
        <f t="shared" si="37"/>
        <v>1</v>
      </c>
      <c r="X27" s="46">
        <f t="shared" si="38"/>
        <v>3</v>
      </c>
      <c r="Y27" s="46">
        <f t="shared" si="39"/>
        <v>4</v>
      </c>
      <c r="AA27" s="54">
        <f t="shared" si="7"/>
        <v>7</v>
      </c>
      <c r="AC27" s="55">
        <f t="shared" si="8"/>
        <v>2</v>
      </c>
    </row>
    <row r="28" spans="1:29" ht="19.5" customHeight="1">
      <c r="A28" s="41">
        <v>20</v>
      </c>
      <c r="B28" s="39">
        <v>0</v>
      </c>
      <c r="C28" s="39">
        <v>0</v>
      </c>
      <c r="D28" s="39">
        <v>0</v>
      </c>
      <c r="E28" s="39">
        <v>0</v>
      </c>
      <c r="F28" s="39">
        <v>0</v>
      </c>
      <c r="G28" s="39">
        <v>0</v>
      </c>
      <c r="H28" s="46">
        <f t="shared" si="28"/>
        <v>0</v>
      </c>
      <c r="I28" s="46">
        <f t="shared" si="29"/>
        <v>0</v>
      </c>
      <c r="J28" s="39">
        <v>0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46">
        <f t="shared" si="30"/>
        <v>0</v>
      </c>
      <c r="Q28" s="46">
        <f t="shared" si="31"/>
        <v>0</v>
      </c>
      <c r="R28" s="48">
        <f t="shared" si="32"/>
        <v>0</v>
      </c>
      <c r="S28" s="48">
        <f t="shared" si="33"/>
        <v>0</v>
      </c>
      <c r="T28" s="48">
        <f t="shared" si="34"/>
        <v>0</v>
      </c>
      <c r="U28" s="48">
        <f t="shared" si="35"/>
        <v>0</v>
      </c>
      <c r="V28" s="48">
        <f t="shared" si="36"/>
        <v>0</v>
      </c>
      <c r="W28" s="48">
        <f t="shared" si="37"/>
        <v>0</v>
      </c>
      <c r="X28" s="46">
        <f t="shared" si="38"/>
        <v>0</v>
      </c>
      <c r="Y28" s="46">
        <f t="shared" si="39"/>
        <v>0</v>
      </c>
      <c r="AA28" s="54">
        <f t="shared" si="7"/>
        <v>0</v>
      </c>
      <c r="AC28" s="55">
        <f t="shared" si="8"/>
        <v>0</v>
      </c>
    </row>
    <row r="29" spans="1:29" ht="19.5" customHeight="1">
      <c r="A29" s="41">
        <v>21</v>
      </c>
      <c r="B29" s="39">
        <v>1</v>
      </c>
      <c r="C29" s="39">
        <v>1</v>
      </c>
      <c r="D29" s="39">
        <v>2</v>
      </c>
      <c r="E29" s="39">
        <v>1</v>
      </c>
      <c r="F29" s="39">
        <v>1</v>
      </c>
      <c r="G29" s="39">
        <v>0</v>
      </c>
      <c r="H29" s="46">
        <f t="shared" si="28"/>
        <v>4</v>
      </c>
      <c r="I29" s="46">
        <f t="shared" si="29"/>
        <v>2</v>
      </c>
      <c r="J29" s="39">
        <v>0</v>
      </c>
      <c r="K29" s="39">
        <v>3</v>
      </c>
      <c r="L29" s="39">
        <v>4</v>
      </c>
      <c r="M29" s="39">
        <v>1</v>
      </c>
      <c r="N29" s="39">
        <v>2</v>
      </c>
      <c r="O29" s="39">
        <v>1</v>
      </c>
      <c r="P29" s="46">
        <f t="shared" si="30"/>
        <v>6</v>
      </c>
      <c r="Q29" s="46">
        <f t="shared" si="31"/>
        <v>5</v>
      </c>
      <c r="R29" s="48">
        <f t="shared" si="32"/>
        <v>1</v>
      </c>
      <c r="S29" s="48">
        <f t="shared" si="33"/>
        <v>4</v>
      </c>
      <c r="T29" s="48">
        <f t="shared" si="34"/>
        <v>6</v>
      </c>
      <c r="U29" s="48">
        <f t="shared" si="35"/>
        <v>2</v>
      </c>
      <c r="V29" s="48">
        <f t="shared" si="36"/>
        <v>3</v>
      </c>
      <c r="W29" s="48">
        <f t="shared" si="37"/>
        <v>1</v>
      </c>
      <c r="X29" s="46">
        <f t="shared" si="38"/>
        <v>10</v>
      </c>
      <c r="Y29" s="46">
        <f t="shared" si="39"/>
        <v>7</v>
      </c>
      <c r="AA29" s="54">
        <f t="shared" si="7"/>
        <v>17</v>
      </c>
      <c r="AC29" s="55">
        <f t="shared" si="8"/>
        <v>6</v>
      </c>
    </row>
    <row r="30" spans="1:29" ht="19.5" customHeight="1">
      <c r="A30" s="41">
        <v>22</v>
      </c>
      <c r="B30" s="39">
        <v>0</v>
      </c>
      <c r="C30" s="39">
        <v>0</v>
      </c>
      <c r="D30" s="39">
        <v>2</v>
      </c>
      <c r="E30" s="39">
        <v>3</v>
      </c>
      <c r="F30" s="39">
        <v>0</v>
      </c>
      <c r="G30" s="39">
        <v>0</v>
      </c>
      <c r="H30" s="46">
        <f t="shared" si="28"/>
        <v>2</v>
      </c>
      <c r="I30" s="46">
        <f t="shared" si="29"/>
        <v>3</v>
      </c>
      <c r="J30" s="39">
        <v>1</v>
      </c>
      <c r="K30" s="39">
        <v>2</v>
      </c>
      <c r="L30" s="39">
        <v>2</v>
      </c>
      <c r="M30" s="39">
        <v>5</v>
      </c>
      <c r="N30" s="39">
        <v>0</v>
      </c>
      <c r="O30" s="39">
        <v>1</v>
      </c>
      <c r="P30" s="46">
        <f t="shared" si="30"/>
        <v>3</v>
      </c>
      <c r="Q30" s="46">
        <f t="shared" si="31"/>
        <v>8</v>
      </c>
      <c r="R30" s="48">
        <f t="shared" si="32"/>
        <v>1</v>
      </c>
      <c r="S30" s="48">
        <f t="shared" si="33"/>
        <v>2</v>
      </c>
      <c r="T30" s="48">
        <f t="shared" si="34"/>
        <v>4</v>
      </c>
      <c r="U30" s="48">
        <f t="shared" si="35"/>
        <v>8</v>
      </c>
      <c r="V30" s="48">
        <f t="shared" si="36"/>
        <v>0</v>
      </c>
      <c r="W30" s="48">
        <f t="shared" si="37"/>
        <v>1</v>
      </c>
      <c r="X30" s="46">
        <f t="shared" si="38"/>
        <v>5</v>
      </c>
      <c r="Y30" s="46">
        <f t="shared" si="39"/>
        <v>11</v>
      </c>
      <c r="AA30" s="54">
        <f t="shared" si="7"/>
        <v>16</v>
      </c>
      <c r="AC30" s="55">
        <f t="shared" si="8"/>
        <v>5</v>
      </c>
    </row>
    <row r="31" spans="1:29" ht="19.5" customHeight="1">
      <c r="A31" s="41">
        <v>23</v>
      </c>
      <c r="B31" s="39">
        <v>3</v>
      </c>
      <c r="C31" s="39">
        <v>1</v>
      </c>
      <c r="D31" s="39">
        <v>0</v>
      </c>
      <c r="E31" s="39">
        <v>1</v>
      </c>
      <c r="F31" s="39">
        <v>1</v>
      </c>
      <c r="G31" s="39">
        <v>1</v>
      </c>
      <c r="H31" s="46">
        <f t="shared" si="28"/>
        <v>4</v>
      </c>
      <c r="I31" s="46">
        <f t="shared" si="29"/>
        <v>3</v>
      </c>
      <c r="J31" s="39">
        <v>2</v>
      </c>
      <c r="K31" s="39">
        <v>2</v>
      </c>
      <c r="L31" s="39">
        <v>3</v>
      </c>
      <c r="M31" s="39">
        <v>3</v>
      </c>
      <c r="N31" s="39">
        <v>2</v>
      </c>
      <c r="O31" s="39">
        <v>0</v>
      </c>
      <c r="P31" s="46">
        <f t="shared" si="30"/>
        <v>7</v>
      </c>
      <c r="Q31" s="46">
        <f t="shared" si="31"/>
        <v>5</v>
      </c>
      <c r="R31" s="48">
        <f t="shared" si="32"/>
        <v>5</v>
      </c>
      <c r="S31" s="48">
        <f t="shared" si="33"/>
        <v>3</v>
      </c>
      <c r="T31" s="48">
        <f t="shared" si="34"/>
        <v>3</v>
      </c>
      <c r="U31" s="48">
        <f t="shared" si="35"/>
        <v>4</v>
      </c>
      <c r="V31" s="48">
        <f t="shared" si="36"/>
        <v>3</v>
      </c>
      <c r="W31" s="48">
        <f t="shared" si="37"/>
        <v>1</v>
      </c>
      <c r="X31" s="46">
        <f t="shared" si="38"/>
        <v>11</v>
      </c>
      <c r="Y31" s="46">
        <f t="shared" si="39"/>
        <v>8</v>
      </c>
      <c r="AA31" s="54">
        <f t="shared" si="7"/>
        <v>19</v>
      </c>
      <c r="AC31" s="55">
        <f t="shared" si="8"/>
        <v>7</v>
      </c>
    </row>
    <row r="32" spans="1:29" ht="19.5" customHeight="1">
      <c r="A32" s="41">
        <v>24</v>
      </c>
      <c r="B32" s="39">
        <v>0</v>
      </c>
      <c r="C32" s="39">
        <v>1</v>
      </c>
      <c r="D32" s="39">
        <v>1</v>
      </c>
      <c r="E32" s="39">
        <v>1</v>
      </c>
      <c r="F32" s="39">
        <v>2</v>
      </c>
      <c r="G32" s="39">
        <v>0</v>
      </c>
      <c r="H32" s="46">
        <f t="shared" si="28"/>
        <v>3</v>
      </c>
      <c r="I32" s="46">
        <f t="shared" si="29"/>
        <v>2</v>
      </c>
      <c r="J32" s="39">
        <v>1</v>
      </c>
      <c r="K32" s="39">
        <v>1</v>
      </c>
      <c r="L32" s="39">
        <v>4</v>
      </c>
      <c r="M32" s="39">
        <v>2</v>
      </c>
      <c r="N32" s="39">
        <v>1</v>
      </c>
      <c r="O32" s="39">
        <v>1</v>
      </c>
      <c r="P32" s="46">
        <f t="shared" si="30"/>
        <v>6</v>
      </c>
      <c r="Q32" s="46">
        <f t="shared" si="31"/>
        <v>4</v>
      </c>
      <c r="R32" s="48">
        <f t="shared" si="32"/>
        <v>1</v>
      </c>
      <c r="S32" s="48">
        <f t="shared" si="33"/>
        <v>2</v>
      </c>
      <c r="T32" s="48">
        <f t="shared" si="34"/>
        <v>5</v>
      </c>
      <c r="U32" s="48">
        <f t="shared" si="35"/>
        <v>3</v>
      </c>
      <c r="V32" s="48">
        <f t="shared" si="36"/>
        <v>3</v>
      </c>
      <c r="W32" s="48">
        <f t="shared" si="37"/>
        <v>1</v>
      </c>
      <c r="X32" s="46">
        <f t="shared" si="38"/>
        <v>9</v>
      </c>
      <c r="Y32" s="46">
        <f t="shared" si="39"/>
        <v>6</v>
      </c>
      <c r="AA32" s="54">
        <f t="shared" si="7"/>
        <v>15</v>
      </c>
      <c r="AC32" s="55">
        <f t="shared" si="8"/>
        <v>5</v>
      </c>
    </row>
    <row r="33" spans="1:32" ht="19.5" customHeight="1">
      <c r="A33" s="41">
        <v>25</v>
      </c>
      <c r="B33" s="39">
        <v>1</v>
      </c>
      <c r="C33" s="39">
        <v>2</v>
      </c>
      <c r="D33" s="39">
        <v>2</v>
      </c>
      <c r="E33" s="39">
        <v>1</v>
      </c>
      <c r="F33" s="39">
        <v>0</v>
      </c>
      <c r="G33" s="39">
        <v>1</v>
      </c>
      <c r="H33" s="46">
        <f t="shared" si="28"/>
        <v>3</v>
      </c>
      <c r="I33" s="46">
        <f t="shared" si="29"/>
        <v>4</v>
      </c>
      <c r="J33" s="39">
        <v>1</v>
      </c>
      <c r="K33" s="39">
        <v>3</v>
      </c>
      <c r="L33" s="39">
        <v>2</v>
      </c>
      <c r="M33" s="39">
        <v>4</v>
      </c>
      <c r="N33" s="39">
        <v>2</v>
      </c>
      <c r="O33" s="39">
        <v>1</v>
      </c>
      <c r="P33" s="46">
        <f t="shared" si="30"/>
        <v>5</v>
      </c>
      <c r="Q33" s="46">
        <f t="shared" si="31"/>
        <v>8</v>
      </c>
      <c r="R33" s="48">
        <f t="shared" si="32"/>
        <v>2</v>
      </c>
      <c r="S33" s="48">
        <f t="shared" si="33"/>
        <v>5</v>
      </c>
      <c r="T33" s="48">
        <f t="shared" si="34"/>
        <v>4</v>
      </c>
      <c r="U33" s="48">
        <f t="shared" si="35"/>
        <v>5</v>
      </c>
      <c r="V33" s="48">
        <f t="shared" si="36"/>
        <v>2</v>
      </c>
      <c r="W33" s="48">
        <f t="shared" si="37"/>
        <v>2</v>
      </c>
      <c r="X33" s="46">
        <f t="shared" si="38"/>
        <v>8</v>
      </c>
      <c r="Y33" s="46">
        <f t="shared" si="39"/>
        <v>12</v>
      </c>
      <c r="AA33" s="54">
        <f t="shared" si="7"/>
        <v>20</v>
      </c>
      <c r="AC33" s="55">
        <f t="shared" si="8"/>
        <v>7</v>
      </c>
    </row>
    <row r="34" spans="1:32" ht="19.5" customHeight="1">
      <c r="A34" s="41">
        <v>26</v>
      </c>
      <c r="B34" s="39">
        <v>0</v>
      </c>
      <c r="C34" s="39">
        <v>0</v>
      </c>
      <c r="D34" s="39">
        <v>1</v>
      </c>
      <c r="E34" s="39">
        <v>2</v>
      </c>
      <c r="F34" s="39">
        <v>0</v>
      </c>
      <c r="G34" s="39">
        <v>1</v>
      </c>
      <c r="H34" s="46">
        <f t="shared" si="28"/>
        <v>1</v>
      </c>
      <c r="I34" s="46">
        <f t="shared" si="29"/>
        <v>3</v>
      </c>
      <c r="J34" s="39">
        <v>1</v>
      </c>
      <c r="K34" s="39">
        <v>1</v>
      </c>
      <c r="L34" s="39">
        <v>3</v>
      </c>
      <c r="M34" s="39">
        <v>0</v>
      </c>
      <c r="N34" s="39">
        <v>1</v>
      </c>
      <c r="O34" s="39">
        <v>0</v>
      </c>
      <c r="P34" s="46">
        <f t="shared" si="30"/>
        <v>5</v>
      </c>
      <c r="Q34" s="46">
        <f t="shared" si="31"/>
        <v>1</v>
      </c>
      <c r="R34" s="48">
        <f t="shared" si="32"/>
        <v>1</v>
      </c>
      <c r="S34" s="48">
        <f t="shared" si="33"/>
        <v>1</v>
      </c>
      <c r="T34" s="48">
        <f t="shared" si="34"/>
        <v>4</v>
      </c>
      <c r="U34" s="48">
        <f t="shared" si="35"/>
        <v>2</v>
      </c>
      <c r="V34" s="48">
        <f t="shared" si="36"/>
        <v>1</v>
      </c>
      <c r="W34" s="48">
        <f t="shared" si="37"/>
        <v>1</v>
      </c>
      <c r="X34" s="46">
        <f t="shared" si="38"/>
        <v>6</v>
      </c>
      <c r="Y34" s="46">
        <f t="shared" si="39"/>
        <v>4</v>
      </c>
      <c r="AA34" s="54">
        <f t="shared" si="7"/>
        <v>10</v>
      </c>
      <c r="AC34" s="55">
        <f t="shared" si="8"/>
        <v>4</v>
      </c>
    </row>
    <row r="35" spans="1:32" ht="19.5" customHeight="1">
      <c r="A35" s="41">
        <v>27</v>
      </c>
      <c r="B35" s="39">
        <v>0</v>
      </c>
      <c r="C35" s="39">
        <v>0</v>
      </c>
      <c r="D35" s="39">
        <v>0</v>
      </c>
      <c r="E35" s="39">
        <v>0</v>
      </c>
      <c r="F35" s="39">
        <v>0</v>
      </c>
      <c r="G35" s="39">
        <v>0</v>
      </c>
      <c r="H35" s="46">
        <f t="shared" si="28"/>
        <v>0</v>
      </c>
      <c r="I35" s="46">
        <f t="shared" si="29"/>
        <v>0</v>
      </c>
      <c r="J35" s="39">
        <v>0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46">
        <f t="shared" si="30"/>
        <v>0</v>
      </c>
      <c r="Q35" s="46">
        <f t="shared" si="31"/>
        <v>0</v>
      </c>
      <c r="R35" s="48">
        <f t="shared" si="32"/>
        <v>0</v>
      </c>
      <c r="S35" s="48">
        <f t="shared" si="33"/>
        <v>0</v>
      </c>
      <c r="T35" s="48">
        <f t="shared" si="34"/>
        <v>0</v>
      </c>
      <c r="U35" s="48">
        <f t="shared" si="35"/>
        <v>0</v>
      </c>
      <c r="V35" s="48">
        <f t="shared" si="36"/>
        <v>0</v>
      </c>
      <c r="W35" s="48">
        <f t="shared" si="37"/>
        <v>0</v>
      </c>
      <c r="X35" s="46">
        <f t="shared" si="38"/>
        <v>0</v>
      </c>
      <c r="Y35" s="46">
        <f t="shared" si="39"/>
        <v>0</v>
      </c>
      <c r="AA35" s="54">
        <f t="shared" si="7"/>
        <v>0</v>
      </c>
      <c r="AC35" s="55">
        <f t="shared" si="8"/>
        <v>0</v>
      </c>
    </row>
    <row r="36" spans="1:32" ht="19.5" customHeight="1">
      <c r="A36" s="41">
        <v>28</v>
      </c>
      <c r="B36" s="39">
        <v>1</v>
      </c>
      <c r="C36" s="39">
        <v>2</v>
      </c>
      <c r="D36" s="39">
        <v>3</v>
      </c>
      <c r="E36" s="39">
        <v>1</v>
      </c>
      <c r="F36" s="39">
        <v>0</v>
      </c>
      <c r="G36" s="39">
        <v>0</v>
      </c>
      <c r="H36" s="46">
        <f t="shared" si="28"/>
        <v>4</v>
      </c>
      <c r="I36" s="46">
        <f t="shared" si="29"/>
        <v>3</v>
      </c>
      <c r="J36" s="39">
        <v>3</v>
      </c>
      <c r="K36" s="39">
        <v>0</v>
      </c>
      <c r="L36" s="39">
        <v>3</v>
      </c>
      <c r="M36" s="39">
        <v>4</v>
      </c>
      <c r="N36" s="39">
        <v>2</v>
      </c>
      <c r="O36" s="39">
        <v>1</v>
      </c>
      <c r="P36" s="46">
        <f t="shared" si="30"/>
        <v>8</v>
      </c>
      <c r="Q36" s="46">
        <f t="shared" si="31"/>
        <v>5</v>
      </c>
      <c r="R36" s="48">
        <f t="shared" si="32"/>
        <v>4</v>
      </c>
      <c r="S36" s="48">
        <f t="shared" si="33"/>
        <v>2</v>
      </c>
      <c r="T36" s="48">
        <f t="shared" si="34"/>
        <v>6</v>
      </c>
      <c r="U36" s="48">
        <f t="shared" si="35"/>
        <v>5</v>
      </c>
      <c r="V36" s="48">
        <f t="shared" si="36"/>
        <v>2</v>
      </c>
      <c r="W36" s="48">
        <f t="shared" si="37"/>
        <v>1</v>
      </c>
      <c r="X36" s="46">
        <f t="shared" si="38"/>
        <v>12</v>
      </c>
      <c r="Y36" s="46">
        <f t="shared" si="39"/>
        <v>8</v>
      </c>
      <c r="AA36" s="54">
        <f t="shared" si="7"/>
        <v>20</v>
      </c>
      <c r="AC36" s="55">
        <f t="shared" si="8"/>
        <v>7</v>
      </c>
    </row>
    <row r="37" spans="1:32" ht="19.5" customHeight="1">
      <c r="A37" s="41">
        <v>29</v>
      </c>
      <c r="B37" s="39">
        <v>1</v>
      </c>
      <c r="C37" s="39">
        <v>2</v>
      </c>
      <c r="D37" s="39">
        <v>1</v>
      </c>
      <c r="E37" s="39">
        <v>0</v>
      </c>
      <c r="F37" s="39">
        <v>0</v>
      </c>
      <c r="G37" s="39">
        <v>1</v>
      </c>
      <c r="H37" s="46">
        <f t="shared" si="28"/>
        <v>2</v>
      </c>
      <c r="I37" s="46">
        <f t="shared" si="29"/>
        <v>3</v>
      </c>
      <c r="J37" s="39">
        <v>0</v>
      </c>
      <c r="K37" s="39">
        <v>2</v>
      </c>
      <c r="L37" s="39">
        <v>3</v>
      </c>
      <c r="M37" s="39">
        <v>4</v>
      </c>
      <c r="N37" s="39">
        <v>2</v>
      </c>
      <c r="O37" s="39">
        <v>0</v>
      </c>
      <c r="P37" s="46">
        <f t="shared" si="30"/>
        <v>5</v>
      </c>
      <c r="Q37" s="46">
        <f t="shared" si="31"/>
        <v>6</v>
      </c>
      <c r="R37" s="48">
        <f t="shared" si="32"/>
        <v>1</v>
      </c>
      <c r="S37" s="48">
        <f t="shared" si="33"/>
        <v>4</v>
      </c>
      <c r="T37" s="48">
        <f t="shared" si="34"/>
        <v>4</v>
      </c>
      <c r="U37" s="48">
        <f t="shared" si="35"/>
        <v>4</v>
      </c>
      <c r="V37" s="48">
        <f t="shared" si="36"/>
        <v>2</v>
      </c>
      <c r="W37" s="48">
        <f t="shared" si="37"/>
        <v>1</v>
      </c>
      <c r="X37" s="46">
        <f t="shared" si="38"/>
        <v>7</v>
      </c>
      <c r="Y37" s="46">
        <f t="shared" si="39"/>
        <v>9</v>
      </c>
      <c r="Z37" s="50"/>
      <c r="AA37" s="54">
        <f t="shared" si="7"/>
        <v>16</v>
      </c>
      <c r="AC37" s="55">
        <f t="shared" si="8"/>
        <v>5</v>
      </c>
    </row>
    <row r="38" spans="1:32" ht="19.5" customHeight="1">
      <c r="A38" s="41">
        <v>30</v>
      </c>
      <c r="B38" s="39">
        <v>2</v>
      </c>
      <c r="C38" s="39">
        <v>0</v>
      </c>
      <c r="D38" s="39">
        <v>3</v>
      </c>
      <c r="E38" s="39">
        <v>1</v>
      </c>
      <c r="F38" s="39">
        <v>0</v>
      </c>
      <c r="G38" s="39">
        <v>0</v>
      </c>
      <c r="H38" s="46">
        <f t="shared" si="28"/>
        <v>5</v>
      </c>
      <c r="I38" s="46">
        <f t="shared" si="29"/>
        <v>1</v>
      </c>
      <c r="J38" s="39">
        <v>0</v>
      </c>
      <c r="K38" s="39">
        <v>4</v>
      </c>
      <c r="L38" s="39">
        <v>1</v>
      </c>
      <c r="M38" s="39">
        <v>5</v>
      </c>
      <c r="N38" s="39">
        <v>2</v>
      </c>
      <c r="O38" s="39">
        <v>1</v>
      </c>
      <c r="P38" s="46">
        <f t="shared" si="30"/>
        <v>3</v>
      </c>
      <c r="Q38" s="46">
        <f t="shared" si="31"/>
        <v>10</v>
      </c>
      <c r="R38" s="48">
        <f t="shared" si="32"/>
        <v>2</v>
      </c>
      <c r="S38" s="48">
        <f t="shared" si="33"/>
        <v>4</v>
      </c>
      <c r="T38" s="48">
        <f t="shared" si="34"/>
        <v>4</v>
      </c>
      <c r="U38" s="48">
        <f t="shared" si="35"/>
        <v>6</v>
      </c>
      <c r="V38" s="48">
        <f t="shared" si="36"/>
        <v>2</v>
      </c>
      <c r="W38" s="48">
        <f t="shared" si="37"/>
        <v>1</v>
      </c>
      <c r="X38" s="46">
        <f t="shared" si="38"/>
        <v>8</v>
      </c>
      <c r="Y38" s="46">
        <f t="shared" si="39"/>
        <v>11</v>
      </c>
      <c r="AA38" s="54">
        <f t="shared" si="7"/>
        <v>19</v>
      </c>
      <c r="AB38" s="37"/>
      <c r="AC38" s="55">
        <f t="shared" si="8"/>
        <v>6</v>
      </c>
      <c r="AF38" s="38"/>
    </row>
    <row r="39" spans="1:32" s="34" customFormat="1" ht="19.5" customHeight="1">
      <c r="A39" s="41">
        <v>31</v>
      </c>
      <c r="B39" s="39">
        <v>1</v>
      </c>
      <c r="C39" s="39">
        <v>1</v>
      </c>
      <c r="D39" s="39">
        <v>1</v>
      </c>
      <c r="E39" s="39">
        <v>2</v>
      </c>
      <c r="F39" s="39">
        <v>0</v>
      </c>
      <c r="G39" s="39">
        <v>0</v>
      </c>
      <c r="H39" s="46">
        <f t="shared" si="28"/>
        <v>2</v>
      </c>
      <c r="I39" s="46">
        <f t="shared" si="29"/>
        <v>3</v>
      </c>
      <c r="J39" s="39">
        <v>2</v>
      </c>
      <c r="K39" s="39">
        <v>1</v>
      </c>
      <c r="L39" s="39">
        <v>4</v>
      </c>
      <c r="M39" s="39">
        <v>1</v>
      </c>
      <c r="N39" s="39">
        <v>1</v>
      </c>
      <c r="O39" s="39">
        <v>1</v>
      </c>
      <c r="P39" s="46">
        <f t="shared" si="30"/>
        <v>7</v>
      </c>
      <c r="Q39" s="46">
        <f t="shared" si="31"/>
        <v>3</v>
      </c>
      <c r="R39" s="48">
        <f t="shared" si="32"/>
        <v>3</v>
      </c>
      <c r="S39" s="48">
        <f t="shared" si="33"/>
        <v>2</v>
      </c>
      <c r="T39" s="48">
        <f t="shared" si="34"/>
        <v>5</v>
      </c>
      <c r="U39" s="48">
        <f t="shared" si="35"/>
        <v>3</v>
      </c>
      <c r="V39" s="48">
        <f t="shared" si="36"/>
        <v>1</v>
      </c>
      <c r="W39" s="48">
        <f t="shared" si="37"/>
        <v>1</v>
      </c>
      <c r="X39" s="46">
        <f t="shared" si="38"/>
        <v>9</v>
      </c>
      <c r="Y39" s="46">
        <f t="shared" si="39"/>
        <v>6</v>
      </c>
      <c r="AA39" s="54">
        <f t="shared" si="7"/>
        <v>15</v>
      </c>
      <c r="AC39" s="55">
        <f t="shared" si="8"/>
        <v>5</v>
      </c>
    </row>
    <row r="40" spans="1:32" ht="19.5" customHeight="1">
      <c r="A40" s="42" t="s">
        <v>54</v>
      </c>
      <c r="B40" s="43">
        <f>SUM(B9:B39)</f>
        <v>21</v>
      </c>
      <c r="C40" s="43">
        <f>SUM(C8:C39)</f>
        <v>20</v>
      </c>
      <c r="D40" s="43">
        <f>SUM(D9:D39)</f>
        <v>34</v>
      </c>
      <c r="E40" s="43">
        <f>SUM(E9:E39)</f>
        <v>29</v>
      </c>
      <c r="F40" s="43">
        <f>SUM(F9:F39)</f>
        <v>10</v>
      </c>
      <c r="G40" s="43">
        <f>SUM(G9:G39)</f>
        <v>13</v>
      </c>
      <c r="H40" s="46">
        <f>SUM(B40+D40+F40)</f>
        <v>65</v>
      </c>
      <c r="I40" s="46">
        <f>SUM(C40+E40+G40)</f>
        <v>62</v>
      </c>
      <c r="J40" s="43">
        <f t="shared" ref="J40:O40" si="40">SUM(J9:J39)</f>
        <v>30</v>
      </c>
      <c r="K40" s="43">
        <f t="shared" si="40"/>
        <v>42</v>
      </c>
      <c r="L40" s="43">
        <f t="shared" si="40"/>
        <v>65</v>
      </c>
      <c r="M40" s="43">
        <f t="shared" si="40"/>
        <v>67</v>
      </c>
      <c r="N40" s="43">
        <f t="shared" si="40"/>
        <v>31</v>
      </c>
      <c r="O40" s="43">
        <f t="shared" si="40"/>
        <v>15</v>
      </c>
      <c r="P40" s="46">
        <f>SUM(J40+L40+N40)</f>
        <v>126</v>
      </c>
      <c r="Q40" s="46">
        <f>SUM(K40+M40+O40)</f>
        <v>124</v>
      </c>
      <c r="R40" s="46">
        <f t="shared" ref="R40:W40" si="41">SUM(B40+J40)</f>
        <v>51</v>
      </c>
      <c r="S40" s="46">
        <f t="shared" si="41"/>
        <v>62</v>
      </c>
      <c r="T40" s="46">
        <f t="shared" si="41"/>
        <v>99</v>
      </c>
      <c r="U40" s="46">
        <f t="shared" si="41"/>
        <v>96</v>
      </c>
      <c r="V40" s="46">
        <f t="shared" si="41"/>
        <v>41</v>
      </c>
      <c r="W40" s="46">
        <f t="shared" si="41"/>
        <v>28</v>
      </c>
      <c r="X40" s="46">
        <f>SUM(H40+P40)</f>
        <v>191</v>
      </c>
      <c r="Y40" s="46">
        <f>SUM(I40+Q40)</f>
        <v>186</v>
      </c>
      <c r="AA40" s="60">
        <f>SUM(AA9:AA39)</f>
        <v>377</v>
      </c>
      <c r="AC40" s="59">
        <f>SUM(AC9:AC39)</f>
        <v>127</v>
      </c>
    </row>
    <row r="41" spans="1:32" s="33" customFormat="1" ht="19.5" customHeight="1">
      <c r="A41" s="25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AB41" s="52"/>
      <c r="AC41" s="52"/>
      <c r="AD41" s="52"/>
      <c r="AE41" s="52"/>
    </row>
    <row r="42" spans="1:32" ht="14.25" customHeight="1">
      <c r="A42" s="25"/>
      <c r="AB42" s="92" t="s">
        <v>114</v>
      </c>
      <c r="AC42" s="93"/>
      <c r="AD42" s="56">
        <f>SUM(D40+F40+L40+N40)</f>
        <v>140</v>
      </c>
      <c r="AE42" s="89">
        <f>SUM(AD42+AD43+AD44)</f>
        <v>377</v>
      </c>
    </row>
    <row r="43" spans="1:32" ht="14.25" customHeight="1">
      <c r="A43" s="25"/>
      <c r="AB43" s="92" t="s">
        <v>115</v>
      </c>
      <c r="AC43" s="93"/>
      <c r="AD43" s="56">
        <f>SUM(E40+G40+M40+O40)</f>
        <v>124</v>
      </c>
      <c r="AE43" s="89"/>
    </row>
    <row r="44" spans="1:32" ht="14.25" customHeight="1">
      <c r="A44" s="25"/>
      <c r="AB44" s="92" t="s">
        <v>117</v>
      </c>
      <c r="AC44" s="93"/>
      <c r="AD44" s="56">
        <f>SUM(B40+C40+J40+K40)</f>
        <v>113</v>
      </c>
      <c r="AE44" s="89"/>
    </row>
    <row r="45" spans="1:32" ht="14.25" customHeight="1">
      <c r="P45" s="6"/>
      <c r="AB45" s="90" t="s">
        <v>112</v>
      </c>
      <c r="AC45" s="89"/>
      <c r="AD45" s="56">
        <f>SUM(H40+I40)</f>
        <v>127</v>
      </c>
      <c r="AE45" s="89">
        <f>SUM(H40+I40+P40+Q40)</f>
        <v>377</v>
      </c>
    </row>
    <row r="46" spans="1:32" ht="14.25" customHeight="1">
      <c r="AB46" s="90" t="s">
        <v>113</v>
      </c>
      <c r="AC46" s="89"/>
      <c r="AD46" s="56">
        <f>SUM(P40+Q40)</f>
        <v>250</v>
      </c>
      <c r="AE46" s="89"/>
    </row>
    <row r="47" spans="1:32" ht="14.25" customHeight="1">
      <c r="AB47" s="91"/>
      <c r="AC47" s="91"/>
      <c r="AD47" s="53"/>
      <c r="AE47" s="53"/>
    </row>
    <row r="48" spans="1:32" ht="14.25" customHeight="1">
      <c r="AB48" s="38"/>
    </row>
    <row r="49" spans="28:28" ht="14.25" customHeight="1">
      <c r="AB49" s="38"/>
    </row>
    <row r="50" spans="28:28" ht="14.25" customHeight="1"/>
    <row r="51" spans="28:28" ht="14.25" customHeight="1"/>
    <row r="52" spans="28:28" ht="14.25" customHeight="1"/>
    <row r="53" spans="28:28" ht="14.25" customHeight="1"/>
    <row r="54" spans="28:28" ht="14.25" customHeight="1"/>
    <row r="55" spans="28:28" ht="14.25" customHeight="1"/>
    <row r="56" spans="28:28" ht="14.25" customHeight="1"/>
    <row r="57" spans="28:28" ht="14.25" customHeight="1"/>
    <row r="58" spans="28:28" ht="14.25" customHeight="1"/>
    <row r="59" spans="28:28" ht="14.25" customHeight="1"/>
    <row r="60" spans="28:28" ht="14.25" customHeight="1"/>
    <row r="61" spans="28:28" ht="14.25" customHeight="1"/>
    <row r="62" spans="28:28" ht="14.25" customHeight="1"/>
    <row r="63" spans="28:28" ht="14.25" customHeight="1"/>
    <row r="64" spans="28:2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8">
    <mergeCell ref="AE42:AE44"/>
    <mergeCell ref="AB45:AC45"/>
    <mergeCell ref="AB46:AC46"/>
    <mergeCell ref="AB47:AC47"/>
    <mergeCell ref="AB42:AC42"/>
    <mergeCell ref="AB43:AC43"/>
    <mergeCell ref="AB44:AC44"/>
    <mergeCell ref="AE45:AE46"/>
    <mergeCell ref="A2:Y2"/>
    <mergeCell ref="A3:Y3"/>
    <mergeCell ref="A4:Y4"/>
    <mergeCell ref="B6:I6"/>
    <mergeCell ref="A1:Y1"/>
    <mergeCell ref="A5:Y5"/>
    <mergeCell ref="X7:Y7"/>
    <mergeCell ref="V7:W7"/>
    <mergeCell ref="J6:Q6"/>
    <mergeCell ref="H7:I7"/>
    <mergeCell ref="B7:C7"/>
    <mergeCell ref="J7:K7"/>
    <mergeCell ref="L7:M7"/>
    <mergeCell ref="R6:Y6"/>
    <mergeCell ref="R7:S7"/>
    <mergeCell ref="T7:U7"/>
    <mergeCell ref="N7:O7"/>
    <mergeCell ref="P7:Q7"/>
    <mergeCell ref="D7:E7"/>
    <mergeCell ref="F7:G7"/>
  </mergeCells>
  <pageMargins left="0.70866141732283461" right="0.70866141732283461" top="0.74803149606299213" bottom="0.74803149606299213" header="0.31496062992125984" footer="0.31496062992125984"/>
  <pageSetup paperSize="9" scale="8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I10" sqref="I10:L15"/>
    </sheetView>
  </sheetViews>
  <sheetFormatPr defaultColWidth="14.44140625" defaultRowHeight="15" customHeight="1"/>
  <cols>
    <col min="1" max="1" width="4.109375" customWidth="1"/>
    <col min="2" max="26" width="8" customWidth="1"/>
  </cols>
  <sheetData>
    <row r="1" spans="1:26" ht="14.25" customHeight="1">
      <c r="A1" s="101" t="s">
        <v>12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26" ht="24.75" customHeight="1">
      <c r="A2" s="98" t="s">
        <v>14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</row>
    <row r="3" spans="1:26" ht="24.75" customHeight="1">
      <c r="A3" s="99" t="s">
        <v>61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</row>
    <row r="4" spans="1:26" ht="24.75" customHeight="1">
      <c r="A4" s="94" t="s">
        <v>15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</row>
    <row r="5" spans="1:26" ht="92.25" customHeight="1">
      <c r="A5" s="4" t="s">
        <v>17</v>
      </c>
      <c r="B5" s="5" t="s">
        <v>18</v>
      </c>
      <c r="C5" s="5" t="s">
        <v>19</v>
      </c>
      <c r="D5" s="5" t="s">
        <v>20</v>
      </c>
      <c r="E5" s="5" t="s">
        <v>21</v>
      </c>
      <c r="F5" s="5" t="s">
        <v>22</v>
      </c>
      <c r="G5" s="5" t="s">
        <v>23</v>
      </c>
      <c r="H5" s="5" t="s">
        <v>24</v>
      </c>
      <c r="I5" s="5" t="s">
        <v>25</v>
      </c>
      <c r="J5" s="5" t="s">
        <v>26</v>
      </c>
      <c r="K5" s="5" t="s">
        <v>27</v>
      </c>
      <c r="L5" s="5" t="s">
        <v>28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customHeight="1">
      <c r="A6" s="7" t="s">
        <v>29</v>
      </c>
      <c r="B6" s="8">
        <v>2</v>
      </c>
      <c r="C6" s="8">
        <v>3</v>
      </c>
      <c r="D6" s="8">
        <v>4</v>
      </c>
      <c r="E6" s="8">
        <v>5</v>
      </c>
      <c r="F6" s="8">
        <v>6</v>
      </c>
      <c r="G6" s="8">
        <v>7</v>
      </c>
      <c r="H6" s="8">
        <v>8</v>
      </c>
      <c r="I6" s="8">
        <v>9</v>
      </c>
      <c r="J6" s="8">
        <v>10</v>
      </c>
      <c r="K6" s="8">
        <v>11</v>
      </c>
      <c r="L6" s="8">
        <v>12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72.75" customHeight="1">
      <c r="A7" s="9" t="s">
        <v>29</v>
      </c>
      <c r="B7" s="10"/>
      <c r="C7" s="10"/>
      <c r="D7" s="10"/>
      <c r="E7" s="11"/>
      <c r="F7" s="12"/>
      <c r="G7" s="13"/>
      <c r="H7" s="11"/>
      <c r="I7" s="14"/>
      <c r="J7" s="15"/>
      <c r="K7" s="15"/>
      <c r="L7" s="1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4.25" customHeight="1"/>
    <row r="9" spans="1:26" ht="14.25" customHeight="1"/>
    <row r="10" spans="1:26" ht="14.25" customHeight="1">
      <c r="I10" s="96" t="s">
        <v>62</v>
      </c>
      <c r="J10" s="97"/>
      <c r="K10" s="97"/>
      <c r="L10" s="97"/>
    </row>
    <row r="11" spans="1:26" ht="14.25" customHeight="1">
      <c r="I11" s="97"/>
      <c r="J11" s="97"/>
      <c r="K11" s="97"/>
      <c r="L11" s="97"/>
    </row>
    <row r="12" spans="1:26" ht="14.25" customHeight="1">
      <c r="I12" s="97"/>
      <c r="J12" s="97"/>
      <c r="K12" s="97"/>
      <c r="L12" s="97"/>
    </row>
    <row r="13" spans="1:26" ht="14.25" customHeight="1">
      <c r="I13" s="97"/>
      <c r="J13" s="97"/>
      <c r="K13" s="97"/>
      <c r="L13" s="97"/>
    </row>
    <row r="14" spans="1:26" ht="14.25" customHeight="1">
      <c r="I14" s="97"/>
      <c r="J14" s="97"/>
      <c r="K14" s="97"/>
      <c r="L14" s="97"/>
    </row>
    <row r="15" spans="1:26" ht="14.25" customHeight="1">
      <c r="I15" s="97"/>
      <c r="J15" s="97"/>
      <c r="K15" s="97"/>
      <c r="L15" s="97"/>
    </row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4:L4"/>
    <mergeCell ref="I10:L15"/>
    <mergeCell ref="A2:L2"/>
    <mergeCell ref="A3:L3"/>
    <mergeCell ref="A1:L1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7" workbookViewId="0">
      <selection activeCell="D22" sqref="D22"/>
    </sheetView>
  </sheetViews>
  <sheetFormatPr defaultColWidth="14.44140625" defaultRowHeight="15" customHeight="1"/>
  <cols>
    <col min="1" max="1" width="3.44140625" customWidth="1"/>
    <col min="2" max="2" width="28.33203125" customWidth="1"/>
    <col min="3" max="3" width="13.88671875" customWidth="1"/>
    <col min="4" max="4" width="12.109375" customWidth="1"/>
    <col min="5" max="5" width="12.88671875" customWidth="1"/>
    <col min="6" max="6" width="12" customWidth="1"/>
    <col min="7" max="7" width="13.109375" customWidth="1"/>
    <col min="8" max="8" width="15.109375" customWidth="1"/>
    <col min="9" max="26" width="8" customWidth="1"/>
  </cols>
  <sheetData>
    <row r="1" spans="1:26" ht="14.25" customHeight="1">
      <c r="A1" s="104" t="s">
        <v>33</v>
      </c>
      <c r="B1" s="97"/>
      <c r="C1" s="97"/>
      <c r="D1" s="97"/>
      <c r="E1" s="97"/>
      <c r="F1" s="97"/>
      <c r="G1" s="97"/>
      <c r="H1" s="97"/>
    </row>
    <row r="2" spans="1:26" ht="24.75" customHeight="1">
      <c r="A2" s="98" t="s">
        <v>14</v>
      </c>
      <c r="B2" s="97"/>
      <c r="C2" s="97"/>
      <c r="D2" s="97"/>
      <c r="E2" s="97"/>
      <c r="F2" s="97"/>
      <c r="G2" s="97"/>
      <c r="H2" s="97"/>
    </row>
    <row r="3" spans="1:26" ht="24.75" customHeight="1">
      <c r="A3" s="105" t="s">
        <v>63</v>
      </c>
      <c r="B3" s="97"/>
      <c r="C3" s="97"/>
      <c r="D3" s="97"/>
      <c r="E3" s="97"/>
      <c r="F3" s="97"/>
      <c r="G3" s="97"/>
      <c r="H3" s="97"/>
    </row>
    <row r="4" spans="1:26" ht="26.25" customHeight="1">
      <c r="A4" s="99" t="s">
        <v>110</v>
      </c>
      <c r="B4" s="100"/>
      <c r="C4" s="100"/>
      <c r="D4" s="100"/>
      <c r="E4" s="100"/>
      <c r="F4" s="100"/>
      <c r="G4" s="100"/>
      <c r="H4" s="100"/>
    </row>
    <row r="5" spans="1:26" ht="41.25" customHeight="1">
      <c r="A5" s="9" t="s">
        <v>34</v>
      </c>
      <c r="B5" s="9" t="s">
        <v>35</v>
      </c>
      <c r="C5" s="17" t="s">
        <v>36</v>
      </c>
      <c r="D5" s="18" t="s">
        <v>37</v>
      </c>
      <c r="E5" s="17" t="s">
        <v>38</v>
      </c>
      <c r="F5" s="17" t="s">
        <v>39</v>
      </c>
      <c r="G5" s="17" t="s">
        <v>40</v>
      </c>
      <c r="H5" s="17" t="s">
        <v>41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9.5" customHeight="1">
      <c r="A6" s="20">
        <v>1</v>
      </c>
      <c r="B6" s="21" t="s">
        <v>42</v>
      </c>
      <c r="C6" s="26">
        <v>60</v>
      </c>
      <c r="D6" s="27">
        <v>26.7</v>
      </c>
      <c r="E6" s="28">
        <v>23.2</v>
      </c>
      <c r="F6" s="27">
        <v>24.5</v>
      </c>
      <c r="G6" s="27">
        <v>12.3</v>
      </c>
      <c r="H6" s="27">
        <v>82.7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ht="19.5" customHeight="1">
      <c r="A7" s="102">
        <v>2</v>
      </c>
      <c r="B7" s="21" t="s">
        <v>43</v>
      </c>
      <c r="C7" s="26">
        <v>12</v>
      </c>
      <c r="D7" s="29">
        <v>11</v>
      </c>
      <c r="E7" s="30">
        <v>1</v>
      </c>
      <c r="F7" s="29">
        <v>12</v>
      </c>
      <c r="G7" s="29">
        <v>0</v>
      </c>
      <c r="H7" s="27">
        <v>100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9.5" customHeight="1">
      <c r="A8" s="103"/>
      <c r="B8" s="22" t="s">
        <v>44</v>
      </c>
      <c r="C8" s="26"/>
      <c r="D8" s="29">
        <v>1465</v>
      </c>
      <c r="E8" s="30">
        <v>365</v>
      </c>
      <c r="F8" s="29">
        <v>1830</v>
      </c>
      <c r="G8" s="31"/>
      <c r="H8" s="31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ht="19.5" customHeight="1">
      <c r="A9" s="102">
        <v>3</v>
      </c>
      <c r="B9" s="3" t="s">
        <v>45</v>
      </c>
      <c r="C9" s="29">
        <v>28</v>
      </c>
      <c r="D9" s="29">
        <v>23</v>
      </c>
      <c r="E9" s="29">
        <v>5</v>
      </c>
      <c r="F9" s="29">
        <v>28</v>
      </c>
      <c r="G9" s="29">
        <v>0</v>
      </c>
      <c r="H9" s="27">
        <v>100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9.5" customHeight="1">
      <c r="A10" s="103"/>
      <c r="B10" s="22" t="s">
        <v>44</v>
      </c>
      <c r="C10" s="29"/>
      <c r="D10" s="29">
        <v>1799</v>
      </c>
      <c r="E10" s="29">
        <v>374</v>
      </c>
      <c r="F10" s="29">
        <v>2173</v>
      </c>
      <c r="G10" s="31"/>
      <c r="H10" s="31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9.5" customHeight="1">
      <c r="A11" s="102">
        <v>4</v>
      </c>
      <c r="B11" s="3" t="s">
        <v>46</v>
      </c>
      <c r="C11" s="29">
        <v>28</v>
      </c>
      <c r="D11" s="29">
        <v>28</v>
      </c>
      <c r="E11" s="29">
        <v>4</v>
      </c>
      <c r="F11" s="29">
        <v>32</v>
      </c>
      <c r="G11" s="29">
        <v>0</v>
      </c>
      <c r="H11" s="27">
        <v>110</v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19.5" customHeight="1">
      <c r="A12" s="103"/>
      <c r="B12" s="22" t="s">
        <v>44</v>
      </c>
      <c r="C12" s="29"/>
      <c r="D12" s="29">
        <v>671</v>
      </c>
      <c r="E12" s="29">
        <v>190</v>
      </c>
      <c r="F12" s="29">
        <v>861</v>
      </c>
      <c r="G12" s="31"/>
      <c r="H12" s="31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31.5" customHeight="1">
      <c r="A13" s="102">
        <v>5</v>
      </c>
      <c r="B13" s="24" t="s">
        <v>48</v>
      </c>
      <c r="C13" s="29">
        <v>28</v>
      </c>
      <c r="D13" s="29">
        <v>22</v>
      </c>
      <c r="E13" s="29">
        <v>17</v>
      </c>
      <c r="F13" s="29">
        <v>39</v>
      </c>
      <c r="G13" s="29">
        <v>0</v>
      </c>
      <c r="H13" s="27">
        <v>112</v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14.25" customHeight="1">
      <c r="A14" s="103"/>
      <c r="B14" s="22" t="s">
        <v>44</v>
      </c>
      <c r="C14" s="29">
        <f>28*15</f>
        <v>420</v>
      </c>
      <c r="D14" s="29">
        <v>1995</v>
      </c>
      <c r="E14" s="29">
        <v>685</v>
      </c>
      <c r="F14" s="29">
        <v>2680</v>
      </c>
      <c r="G14" s="31"/>
      <c r="H14" s="31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19.5" customHeight="1">
      <c r="A15" s="23">
        <v>6</v>
      </c>
      <c r="B15" s="21" t="s">
        <v>49</v>
      </c>
      <c r="C15" s="29" t="s">
        <v>50</v>
      </c>
      <c r="D15" s="32"/>
      <c r="E15" s="31"/>
      <c r="F15" s="31"/>
      <c r="G15" s="31"/>
      <c r="H15" s="31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9.5" customHeight="1">
      <c r="A16" s="23">
        <v>7</v>
      </c>
      <c r="B16" s="21" t="s">
        <v>51</v>
      </c>
      <c r="C16" s="29" t="s">
        <v>52</v>
      </c>
      <c r="D16" s="32"/>
      <c r="E16" s="31"/>
      <c r="F16" s="31"/>
      <c r="G16" s="31"/>
      <c r="H16" s="31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1" ht="14.25" customHeight="1">
      <c r="A17" s="2"/>
    </row>
    <row r="18" spans="1:1" ht="14.25" customHeight="1">
      <c r="A18" s="2"/>
    </row>
    <row r="19" spans="1:1" ht="14.25" customHeight="1">
      <c r="A19" s="2"/>
    </row>
    <row r="20" spans="1:1" ht="14.25" customHeight="1">
      <c r="A20" s="2"/>
    </row>
    <row r="21" spans="1:1" ht="14.25" customHeight="1">
      <c r="A21" s="2"/>
    </row>
    <row r="22" spans="1:1" ht="14.25" customHeight="1">
      <c r="A22" s="2"/>
    </row>
    <row r="23" spans="1:1" ht="14.25" customHeight="1">
      <c r="A23" s="2"/>
    </row>
    <row r="24" spans="1:1" ht="14.25" customHeight="1">
      <c r="A24" s="2"/>
    </row>
    <row r="25" spans="1:1" ht="14.25" customHeight="1">
      <c r="A25" s="2"/>
    </row>
    <row r="26" spans="1:1" ht="14.25" customHeight="1">
      <c r="A26" s="2"/>
    </row>
    <row r="27" spans="1:1" ht="14.25" customHeight="1">
      <c r="A27" s="2"/>
    </row>
    <row r="28" spans="1:1" ht="14.25" customHeight="1">
      <c r="A28" s="2"/>
    </row>
    <row r="29" spans="1:1" ht="14.25" customHeight="1">
      <c r="A29" s="2"/>
    </row>
    <row r="30" spans="1:1" ht="14.25" customHeight="1">
      <c r="A30" s="2"/>
    </row>
    <row r="31" spans="1:1" ht="14.25" customHeight="1">
      <c r="A31" s="2"/>
    </row>
    <row r="32" spans="1:1" ht="14.25" customHeight="1">
      <c r="A32" s="2"/>
    </row>
    <row r="33" spans="1:1" ht="14.25" customHeight="1">
      <c r="A33" s="2"/>
    </row>
    <row r="34" spans="1:1" ht="14.25" customHeight="1">
      <c r="A34" s="2"/>
    </row>
    <row r="35" spans="1:1" ht="14.25" customHeight="1">
      <c r="A35" s="2"/>
    </row>
    <row r="36" spans="1:1" ht="14.25" customHeight="1">
      <c r="A36" s="2"/>
    </row>
    <row r="37" spans="1:1" ht="14.25" customHeight="1">
      <c r="A37" s="2"/>
    </row>
    <row r="38" spans="1:1" ht="14.25" customHeight="1">
      <c r="A38" s="2"/>
    </row>
    <row r="39" spans="1:1" ht="14.25" customHeight="1">
      <c r="A39" s="2"/>
    </row>
    <row r="40" spans="1:1" ht="14.25" customHeight="1">
      <c r="A40" s="2"/>
    </row>
    <row r="41" spans="1:1" ht="14.25" customHeight="1">
      <c r="A41" s="2"/>
    </row>
    <row r="42" spans="1:1" ht="14.25" customHeight="1">
      <c r="A42" s="2"/>
    </row>
    <row r="43" spans="1:1" ht="14.25" customHeight="1">
      <c r="A43" s="2"/>
    </row>
    <row r="44" spans="1:1" ht="14.25" customHeight="1">
      <c r="A44" s="2"/>
    </row>
    <row r="45" spans="1:1" ht="14.25" customHeight="1">
      <c r="A45" s="2"/>
    </row>
    <row r="46" spans="1:1" ht="14.25" customHeight="1">
      <c r="A46" s="2"/>
    </row>
    <row r="47" spans="1:1" ht="14.25" customHeight="1">
      <c r="A47" s="2"/>
    </row>
    <row r="48" spans="1:1" ht="14.25" customHeight="1">
      <c r="A48" s="2"/>
    </row>
    <row r="49" spans="1:1" ht="14.25" customHeight="1">
      <c r="A49" s="2"/>
    </row>
    <row r="50" spans="1:1" ht="14.25" customHeight="1">
      <c r="A50" s="2"/>
    </row>
    <row r="51" spans="1:1" ht="14.25" customHeight="1">
      <c r="A51" s="2"/>
    </row>
    <row r="52" spans="1:1" ht="14.25" customHeight="1">
      <c r="A52" s="2"/>
    </row>
    <row r="53" spans="1:1" ht="14.25" customHeight="1">
      <c r="A53" s="2"/>
    </row>
    <row r="54" spans="1:1" ht="14.25" customHeight="1">
      <c r="A54" s="2"/>
    </row>
    <row r="55" spans="1:1" ht="14.25" customHeight="1">
      <c r="A55" s="2"/>
    </row>
    <row r="56" spans="1:1" ht="14.25" customHeight="1">
      <c r="A56" s="2"/>
    </row>
    <row r="57" spans="1:1" ht="14.25" customHeight="1">
      <c r="A57" s="2"/>
    </row>
    <row r="58" spans="1:1" ht="14.25" customHeight="1">
      <c r="A58" s="2"/>
    </row>
    <row r="59" spans="1:1" ht="14.25" customHeight="1">
      <c r="A59" s="2"/>
    </row>
    <row r="60" spans="1:1" ht="14.25" customHeight="1">
      <c r="A60" s="2"/>
    </row>
    <row r="61" spans="1:1" ht="14.25" customHeight="1">
      <c r="A61" s="2"/>
    </row>
    <row r="62" spans="1:1" ht="14.25" customHeight="1">
      <c r="A62" s="2"/>
    </row>
    <row r="63" spans="1:1" ht="14.25" customHeight="1">
      <c r="A63" s="2"/>
    </row>
    <row r="64" spans="1:1" ht="14.25" customHeight="1">
      <c r="A64" s="2"/>
    </row>
    <row r="65" spans="1:1" ht="14.25" customHeight="1">
      <c r="A65" s="2"/>
    </row>
    <row r="66" spans="1:1" ht="14.25" customHeight="1">
      <c r="A66" s="2"/>
    </row>
    <row r="67" spans="1:1" ht="14.25" customHeight="1">
      <c r="A67" s="2"/>
    </row>
    <row r="68" spans="1:1" ht="14.25" customHeight="1">
      <c r="A68" s="2"/>
    </row>
    <row r="69" spans="1:1" ht="14.25" customHeight="1">
      <c r="A69" s="2"/>
    </row>
    <row r="70" spans="1:1" ht="14.25" customHeight="1">
      <c r="A70" s="2"/>
    </row>
    <row r="71" spans="1:1" ht="14.25" customHeight="1">
      <c r="A71" s="2"/>
    </row>
    <row r="72" spans="1:1" ht="14.25" customHeight="1">
      <c r="A72" s="2"/>
    </row>
    <row r="73" spans="1:1" ht="14.25" customHeight="1">
      <c r="A73" s="2"/>
    </row>
    <row r="74" spans="1:1" ht="14.25" customHeight="1">
      <c r="A74" s="2"/>
    </row>
    <row r="75" spans="1:1" ht="14.25" customHeight="1">
      <c r="A75" s="2"/>
    </row>
    <row r="76" spans="1:1" ht="14.25" customHeight="1">
      <c r="A76" s="2"/>
    </row>
    <row r="77" spans="1:1" ht="14.25" customHeight="1">
      <c r="A77" s="2"/>
    </row>
    <row r="78" spans="1:1" ht="14.25" customHeight="1">
      <c r="A78" s="2"/>
    </row>
    <row r="79" spans="1:1" ht="14.25" customHeight="1">
      <c r="A79" s="2"/>
    </row>
    <row r="80" spans="1:1" ht="14.25" customHeight="1">
      <c r="A80" s="2"/>
    </row>
    <row r="81" spans="1:1" ht="14.25" customHeight="1">
      <c r="A81" s="2"/>
    </row>
    <row r="82" spans="1:1" ht="14.25" customHeight="1">
      <c r="A82" s="2"/>
    </row>
    <row r="83" spans="1:1" ht="14.25" customHeight="1">
      <c r="A83" s="2"/>
    </row>
    <row r="84" spans="1:1" ht="14.25" customHeight="1">
      <c r="A84" s="2"/>
    </row>
    <row r="85" spans="1:1" ht="14.25" customHeight="1">
      <c r="A85" s="2"/>
    </row>
    <row r="86" spans="1:1" ht="14.25" customHeight="1">
      <c r="A86" s="2"/>
    </row>
    <row r="87" spans="1:1" ht="14.25" customHeight="1">
      <c r="A87" s="2"/>
    </row>
    <row r="88" spans="1:1" ht="14.25" customHeight="1">
      <c r="A88" s="2"/>
    </row>
    <row r="89" spans="1:1" ht="14.25" customHeight="1">
      <c r="A89" s="2"/>
    </row>
    <row r="90" spans="1:1" ht="14.25" customHeight="1">
      <c r="A90" s="2"/>
    </row>
    <row r="91" spans="1:1" ht="14.25" customHeight="1">
      <c r="A91" s="2"/>
    </row>
    <row r="92" spans="1:1" ht="14.25" customHeight="1">
      <c r="A92" s="2"/>
    </row>
    <row r="93" spans="1:1" ht="14.25" customHeight="1">
      <c r="A93" s="2"/>
    </row>
    <row r="94" spans="1:1" ht="14.25" customHeight="1">
      <c r="A94" s="2"/>
    </row>
    <row r="95" spans="1:1" ht="14.25" customHeight="1">
      <c r="A95" s="2"/>
    </row>
    <row r="96" spans="1:1" ht="14.25" customHeight="1">
      <c r="A96" s="2"/>
    </row>
    <row r="97" spans="1:1" ht="14.25" customHeight="1">
      <c r="A97" s="2"/>
    </row>
    <row r="98" spans="1:1" ht="14.25" customHeight="1">
      <c r="A98" s="2"/>
    </row>
    <row r="99" spans="1:1" ht="14.25" customHeight="1">
      <c r="A99" s="2"/>
    </row>
    <row r="100" spans="1:1" ht="14.25" customHeight="1">
      <c r="A100" s="2"/>
    </row>
    <row r="101" spans="1:1" ht="14.25" customHeight="1">
      <c r="A101" s="2"/>
    </row>
    <row r="102" spans="1:1" ht="14.25" customHeight="1">
      <c r="A102" s="2"/>
    </row>
    <row r="103" spans="1:1" ht="14.25" customHeight="1">
      <c r="A103" s="2"/>
    </row>
    <row r="104" spans="1:1" ht="14.25" customHeight="1">
      <c r="A104" s="2"/>
    </row>
    <row r="105" spans="1:1" ht="14.25" customHeight="1">
      <c r="A105" s="2"/>
    </row>
    <row r="106" spans="1:1" ht="14.25" customHeight="1">
      <c r="A106" s="2"/>
    </row>
    <row r="107" spans="1:1" ht="14.25" customHeight="1">
      <c r="A107" s="2"/>
    </row>
    <row r="108" spans="1:1" ht="14.25" customHeight="1">
      <c r="A108" s="2"/>
    </row>
    <row r="109" spans="1:1" ht="14.25" customHeight="1">
      <c r="A109" s="2"/>
    </row>
    <row r="110" spans="1:1" ht="14.25" customHeight="1">
      <c r="A110" s="2"/>
    </row>
    <row r="111" spans="1:1" ht="14.25" customHeight="1">
      <c r="A111" s="2"/>
    </row>
    <row r="112" spans="1:1" ht="14.25" customHeight="1">
      <c r="A112" s="2"/>
    </row>
    <row r="113" spans="1:1" ht="14.25" customHeight="1">
      <c r="A113" s="2"/>
    </row>
    <row r="114" spans="1:1" ht="14.25" customHeight="1">
      <c r="A114" s="2"/>
    </row>
    <row r="115" spans="1:1" ht="14.25" customHeight="1">
      <c r="A115" s="2"/>
    </row>
    <row r="116" spans="1:1" ht="14.25" customHeight="1">
      <c r="A116" s="2"/>
    </row>
    <row r="117" spans="1:1" ht="14.25" customHeight="1">
      <c r="A117" s="2"/>
    </row>
    <row r="118" spans="1:1" ht="14.25" customHeight="1">
      <c r="A118" s="2"/>
    </row>
    <row r="119" spans="1:1" ht="14.25" customHeight="1">
      <c r="A119" s="2"/>
    </row>
    <row r="120" spans="1:1" ht="14.25" customHeight="1">
      <c r="A120" s="2"/>
    </row>
    <row r="121" spans="1:1" ht="14.25" customHeight="1">
      <c r="A121" s="2"/>
    </row>
    <row r="122" spans="1:1" ht="14.25" customHeight="1">
      <c r="A122" s="2"/>
    </row>
    <row r="123" spans="1:1" ht="14.25" customHeight="1">
      <c r="A123" s="2"/>
    </row>
    <row r="124" spans="1:1" ht="14.25" customHeight="1">
      <c r="A124" s="2"/>
    </row>
    <row r="125" spans="1:1" ht="14.25" customHeight="1">
      <c r="A125" s="2"/>
    </row>
    <row r="126" spans="1:1" ht="14.25" customHeight="1">
      <c r="A126" s="2"/>
    </row>
    <row r="127" spans="1:1" ht="14.25" customHeight="1">
      <c r="A127" s="2"/>
    </row>
    <row r="128" spans="1:1" ht="14.25" customHeight="1">
      <c r="A128" s="2"/>
    </row>
    <row r="129" spans="1:1" ht="14.25" customHeight="1">
      <c r="A129" s="2"/>
    </row>
    <row r="130" spans="1:1" ht="14.25" customHeight="1">
      <c r="A130" s="2"/>
    </row>
    <row r="131" spans="1:1" ht="14.25" customHeight="1">
      <c r="A131" s="2"/>
    </row>
    <row r="132" spans="1:1" ht="14.25" customHeight="1">
      <c r="A132" s="2"/>
    </row>
    <row r="133" spans="1:1" ht="14.25" customHeight="1">
      <c r="A133" s="2"/>
    </row>
    <row r="134" spans="1:1" ht="14.25" customHeight="1">
      <c r="A134" s="2"/>
    </row>
    <row r="135" spans="1:1" ht="14.25" customHeight="1">
      <c r="A135" s="2"/>
    </row>
    <row r="136" spans="1:1" ht="14.25" customHeight="1">
      <c r="A136" s="2"/>
    </row>
    <row r="137" spans="1:1" ht="14.25" customHeight="1">
      <c r="A137" s="2"/>
    </row>
    <row r="138" spans="1:1" ht="14.25" customHeight="1">
      <c r="A138" s="2"/>
    </row>
    <row r="139" spans="1:1" ht="14.25" customHeight="1">
      <c r="A139" s="2"/>
    </row>
    <row r="140" spans="1:1" ht="14.25" customHeight="1">
      <c r="A140" s="2"/>
    </row>
    <row r="141" spans="1:1" ht="14.25" customHeight="1">
      <c r="A141" s="2"/>
    </row>
    <row r="142" spans="1:1" ht="14.25" customHeight="1">
      <c r="A142" s="2"/>
    </row>
    <row r="143" spans="1:1" ht="14.25" customHeight="1">
      <c r="A143" s="2"/>
    </row>
    <row r="144" spans="1:1" ht="14.25" customHeight="1">
      <c r="A144" s="2"/>
    </row>
    <row r="145" spans="1:1" ht="14.25" customHeight="1">
      <c r="A145" s="2"/>
    </row>
    <row r="146" spans="1:1" ht="14.25" customHeight="1">
      <c r="A146" s="2"/>
    </row>
    <row r="147" spans="1:1" ht="14.25" customHeight="1">
      <c r="A147" s="2"/>
    </row>
    <row r="148" spans="1:1" ht="14.25" customHeight="1">
      <c r="A148" s="2"/>
    </row>
    <row r="149" spans="1:1" ht="14.25" customHeight="1">
      <c r="A149" s="2"/>
    </row>
    <row r="150" spans="1:1" ht="14.25" customHeight="1">
      <c r="A150" s="2"/>
    </row>
    <row r="151" spans="1:1" ht="14.25" customHeight="1">
      <c r="A151" s="2"/>
    </row>
    <row r="152" spans="1:1" ht="14.25" customHeight="1">
      <c r="A152" s="2"/>
    </row>
    <row r="153" spans="1:1" ht="14.25" customHeight="1">
      <c r="A153" s="2"/>
    </row>
    <row r="154" spans="1:1" ht="14.25" customHeight="1">
      <c r="A154" s="2"/>
    </row>
    <row r="155" spans="1:1" ht="14.25" customHeight="1">
      <c r="A155" s="2"/>
    </row>
    <row r="156" spans="1:1" ht="14.25" customHeight="1">
      <c r="A156" s="2"/>
    </row>
    <row r="157" spans="1:1" ht="14.25" customHeight="1">
      <c r="A157" s="2"/>
    </row>
    <row r="158" spans="1:1" ht="14.25" customHeight="1">
      <c r="A158" s="2"/>
    </row>
    <row r="159" spans="1:1" ht="14.25" customHeight="1">
      <c r="A159" s="2"/>
    </row>
    <row r="160" spans="1:1" ht="14.25" customHeight="1">
      <c r="A160" s="2"/>
    </row>
    <row r="161" spans="1:1" ht="14.25" customHeight="1">
      <c r="A161" s="2"/>
    </row>
    <row r="162" spans="1:1" ht="14.25" customHeight="1">
      <c r="A162" s="2"/>
    </row>
    <row r="163" spans="1:1" ht="14.25" customHeight="1">
      <c r="A163" s="2"/>
    </row>
    <row r="164" spans="1:1" ht="14.25" customHeight="1">
      <c r="A164" s="2"/>
    </row>
    <row r="165" spans="1:1" ht="14.25" customHeight="1">
      <c r="A165" s="2"/>
    </row>
    <row r="166" spans="1:1" ht="14.25" customHeight="1">
      <c r="A166" s="2"/>
    </row>
    <row r="167" spans="1:1" ht="14.25" customHeight="1">
      <c r="A167" s="2"/>
    </row>
    <row r="168" spans="1:1" ht="14.25" customHeight="1">
      <c r="A168" s="2"/>
    </row>
    <row r="169" spans="1:1" ht="14.25" customHeight="1">
      <c r="A169" s="2"/>
    </row>
    <row r="170" spans="1:1" ht="14.25" customHeight="1">
      <c r="A170" s="2"/>
    </row>
    <row r="171" spans="1:1" ht="14.25" customHeight="1">
      <c r="A171" s="2"/>
    </row>
    <row r="172" spans="1:1" ht="14.25" customHeight="1">
      <c r="A172" s="2"/>
    </row>
    <row r="173" spans="1:1" ht="14.25" customHeight="1">
      <c r="A173" s="2"/>
    </row>
    <row r="174" spans="1:1" ht="14.25" customHeight="1">
      <c r="A174" s="2"/>
    </row>
    <row r="175" spans="1:1" ht="14.25" customHeight="1">
      <c r="A175" s="2"/>
    </row>
    <row r="176" spans="1:1" ht="14.25" customHeight="1">
      <c r="A176" s="2"/>
    </row>
    <row r="177" spans="1:1" ht="14.25" customHeight="1">
      <c r="A177" s="2"/>
    </row>
    <row r="178" spans="1:1" ht="14.25" customHeight="1">
      <c r="A178" s="2"/>
    </row>
    <row r="179" spans="1:1" ht="14.25" customHeight="1">
      <c r="A179" s="2"/>
    </row>
    <row r="180" spans="1:1" ht="14.25" customHeight="1">
      <c r="A180" s="2"/>
    </row>
    <row r="181" spans="1:1" ht="14.25" customHeight="1">
      <c r="A181" s="2"/>
    </row>
    <row r="182" spans="1:1" ht="14.25" customHeight="1">
      <c r="A182" s="2"/>
    </row>
    <row r="183" spans="1:1" ht="14.25" customHeight="1">
      <c r="A183" s="2"/>
    </row>
    <row r="184" spans="1:1" ht="14.25" customHeight="1">
      <c r="A184" s="2"/>
    </row>
    <row r="185" spans="1:1" ht="14.25" customHeight="1">
      <c r="A185" s="2"/>
    </row>
    <row r="186" spans="1:1" ht="14.25" customHeight="1">
      <c r="A186" s="2"/>
    </row>
    <row r="187" spans="1:1" ht="14.25" customHeight="1">
      <c r="A187" s="2"/>
    </row>
    <row r="188" spans="1:1" ht="14.25" customHeight="1">
      <c r="A188" s="2"/>
    </row>
    <row r="189" spans="1:1" ht="14.25" customHeight="1">
      <c r="A189" s="2"/>
    </row>
    <row r="190" spans="1:1" ht="14.25" customHeight="1">
      <c r="A190" s="2"/>
    </row>
    <row r="191" spans="1:1" ht="14.25" customHeight="1">
      <c r="A191" s="2"/>
    </row>
    <row r="192" spans="1:1" ht="14.25" customHeight="1">
      <c r="A192" s="2"/>
    </row>
    <row r="193" spans="1:1" ht="14.25" customHeight="1">
      <c r="A193" s="2"/>
    </row>
    <row r="194" spans="1:1" ht="14.25" customHeight="1">
      <c r="A194" s="2"/>
    </row>
    <row r="195" spans="1:1" ht="14.25" customHeight="1">
      <c r="A195" s="2"/>
    </row>
    <row r="196" spans="1:1" ht="14.25" customHeight="1">
      <c r="A196" s="2"/>
    </row>
    <row r="197" spans="1:1" ht="14.25" customHeight="1">
      <c r="A197" s="2"/>
    </row>
    <row r="198" spans="1:1" ht="14.25" customHeight="1">
      <c r="A198" s="2"/>
    </row>
    <row r="199" spans="1:1" ht="14.25" customHeight="1">
      <c r="A199" s="2"/>
    </row>
    <row r="200" spans="1:1" ht="14.25" customHeight="1">
      <c r="A200" s="2"/>
    </row>
    <row r="201" spans="1:1" ht="14.25" customHeight="1">
      <c r="A201" s="2"/>
    </row>
    <row r="202" spans="1:1" ht="14.25" customHeight="1">
      <c r="A202" s="2"/>
    </row>
    <row r="203" spans="1:1" ht="14.25" customHeight="1">
      <c r="A203" s="2"/>
    </row>
    <row r="204" spans="1:1" ht="14.25" customHeight="1">
      <c r="A204" s="2"/>
    </row>
    <row r="205" spans="1:1" ht="14.25" customHeight="1">
      <c r="A205" s="2"/>
    </row>
    <row r="206" spans="1:1" ht="14.25" customHeight="1">
      <c r="A206" s="2"/>
    </row>
    <row r="207" spans="1:1" ht="14.25" customHeight="1">
      <c r="A207" s="2"/>
    </row>
    <row r="208" spans="1:1" ht="14.25" customHeight="1">
      <c r="A208" s="2"/>
    </row>
    <row r="209" spans="1:1" ht="14.25" customHeight="1">
      <c r="A209" s="2"/>
    </row>
    <row r="210" spans="1:1" ht="14.25" customHeight="1">
      <c r="A210" s="2"/>
    </row>
    <row r="211" spans="1:1" ht="14.25" customHeight="1">
      <c r="A211" s="2"/>
    </row>
    <row r="212" spans="1:1" ht="14.25" customHeight="1">
      <c r="A212" s="2"/>
    </row>
    <row r="213" spans="1:1" ht="14.25" customHeight="1">
      <c r="A213" s="2"/>
    </row>
    <row r="214" spans="1:1" ht="14.25" customHeight="1">
      <c r="A214" s="2"/>
    </row>
    <row r="215" spans="1:1" ht="14.25" customHeight="1">
      <c r="A215" s="2"/>
    </row>
    <row r="216" spans="1:1" ht="14.25" customHeight="1">
      <c r="A216" s="2"/>
    </row>
    <row r="217" spans="1:1" ht="14.25" customHeight="1">
      <c r="A217" s="2"/>
    </row>
    <row r="218" spans="1:1" ht="14.25" customHeight="1">
      <c r="A218" s="2"/>
    </row>
    <row r="219" spans="1:1" ht="14.25" customHeight="1">
      <c r="A219" s="2"/>
    </row>
    <row r="220" spans="1:1" ht="14.25" customHeight="1">
      <c r="A220" s="2"/>
    </row>
    <row r="221" spans="1:1" ht="15.75" customHeight="1"/>
    <row r="222" spans="1:1" ht="15.75" customHeight="1"/>
    <row r="223" spans="1:1" ht="15.75" customHeight="1"/>
    <row r="224" spans="1: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1:A12"/>
    <mergeCell ref="A13:A14"/>
    <mergeCell ref="A1:H1"/>
    <mergeCell ref="A2:H2"/>
    <mergeCell ref="A3:H3"/>
    <mergeCell ref="A4:H4"/>
    <mergeCell ref="A9:A10"/>
    <mergeCell ref="A7:A8"/>
  </mergeCell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71"/>
  <sheetViews>
    <sheetView view="pageLayout" workbookViewId="0">
      <selection activeCell="A4" sqref="A4"/>
    </sheetView>
  </sheetViews>
  <sheetFormatPr defaultColWidth="9.109375" defaultRowHeight="14.4"/>
  <cols>
    <col min="1" max="1" width="5.88671875" style="63" customWidth="1"/>
    <col min="2" max="2" width="14.88671875" style="63" customWidth="1"/>
    <col min="3" max="3" width="3.88671875" style="63" customWidth="1"/>
    <col min="4" max="4" width="4" style="63" customWidth="1"/>
    <col min="5" max="6" width="3.88671875" style="63" customWidth="1"/>
    <col min="7" max="11" width="4" style="63" customWidth="1"/>
    <col min="12" max="12" width="3.6640625" style="63" customWidth="1"/>
    <col min="13" max="33" width="4" style="63" customWidth="1"/>
    <col min="34" max="16384" width="9.109375" style="35"/>
  </cols>
  <sheetData>
    <row r="1" spans="1:34">
      <c r="A1" s="112" t="s">
        <v>13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4"/>
    </row>
    <row r="2" spans="1:34" ht="15.75" customHeight="1">
      <c r="A2" s="115" t="s">
        <v>14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7"/>
    </row>
    <row r="3" spans="1:34">
      <c r="A3" s="112" t="s">
        <v>121</v>
      </c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4"/>
    </row>
    <row r="4" spans="1:34">
      <c r="A4" s="57" t="s">
        <v>16</v>
      </c>
      <c r="B4" s="57" t="s">
        <v>64</v>
      </c>
      <c r="C4" s="57">
        <v>1</v>
      </c>
      <c r="D4" s="57">
        <v>2</v>
      </c>
      <c r="E4" s="57">
        <v>3</v>
      </c>
      <c r="F4" s="57">
        <v>4</v>
      </c>
      <c r="G4" s="57">
        <v>5</v>
      </c>
      <c r="H4" s="57">
        <v>6</v>
      </c>
      <c r="I4" s="57">
        <v>7</v>
      </c>
      <c r="J4" s="57">
        <v>8</v>
      </c>
      <c r="K4" s="57">
        <v>9</v>
      </c>
      <c r="L4" s="57">
        <v>10</v>
      </c>
      <c r="M4" s="57">
        <v>11</v>
      </c>
      <c r="N4" s="57">
        <v>12</v>
      </c>
      <c r="O4" s="57">
        <v>13</v>
      </c>
      <c r="P4" s="57">
        <v>14</v>
      </c>
      <c r="Q4" s="57">
        <v>15</v>
      </c>
      <c r="R4" s="57">
        <v>16</v>
      </c>
      <c r="S4" s="57">
        <v>17</v>
      </c>
      <c r="T4" s="57">
        <v>18</v>
      </c>
      <c r="U4" s="57">
        <v>19</v>
      </c>
      <c r="V4" s="57">
        <v>20</v>
      </c>
      <c r="W4" s="57">
        <v>21</v>
      </c>
      <c r="X4" s="57">
        <v>22</v>
      </c>
      <c r="Y4" s="57">
        <v>23</v>
      </c>
      <c r="Z4" s="57">
        <v>24</v>
      </c>
      <c r="AA4" s="57">
        <v>25</v>
      </c>
      <c r="AB4" s="57">
        <v>26</v>
      </c>
      <c r="AC4" s="57">
        <v>27</v>
      </c>
      <c r="AD4" s="57">
        <v>28</v>
      </c>
      <c r="AE4" s="57">
        <v>29</v>
      </c>
      <c r="AF4" s="57">
        <v>30</v>
      </c>
      <c r="AG4" s="64">
        <v>31</v>
      </c>
    </row>
    <row r="5" spans="1:34" ht="18">
      <c r="A5" s="61" t="s">
        <v>30</v>
      </c>
      <c r="B5" s="108" t="s">
        <v>65</v>
      </c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10"/>
    </row>
    <row r="6" spans="1:34">
      <c r="A6" s="61">
        <v>1</v>
      </c>
      <c r="B6" s="57" t="s">
        <v>65</v>
      </c>
      <c r="C6" s="61"/>
      <c r="D6" s="61"/>
      <c r="E6" s="61">
        <v>1</v>
      </c>
      <c r="F6" s="61">
        <v>1</v>
      </c>
      <c r="G6" s="61">
        <v>1</v>
      </c>
      <c r="H6" s="61"/>
      <c r="I6" s="61">
        <v>1</v>
      </c>
      <c r="J6" s="61">
        <v>1</v>
      </c>
      <c r="K6" s="61">
        <v>1</v>
      </c>
      <c r="L6" s="61">
        <v>1</v>
      </c>
      <c r="M6" s="61"/>
      <c r="N6" s="61"/>
      <c r="O6" s="61"/>
      <c r="P6" s="61">
        <v>1</v>
      </c>
      <c r="Q6" s="61">
        <v>1</v>
      </c>
      <c r="R6" s="61">
        <v>1</v>
      </c>
      <c r="S6" s="61"/>
      <c r="T6" s="61"/>
      <c r="U6" s="61"/>
      <c r="V6" s="61"/>
      <c r="W6" s="61">
        <v>1</v>
      </c>
      <c r="X6" s="61">
        <v>0</v>
      </c>
      <c r="Y6" s="61">
        <v>1</v>
      </c>
      <c r="Z6" s="61">
        <v>1</v>
      </c>
      <c r="AA6" s="61">
        <v>1</v>
      </c>
      <c r="AB6" s="61"/>
      <c r="AC6" s="61"/>
      <c r="AD6" s="61">
        <v>1</v>
      </c>
      <c r="AE6" s="61">
        <v>0</v>
      </c>
      <c r="AF6" s="61">
        <v>1</v>
      </c>
      <c r="AG6" s="64"/>
      <c r="AH6" s="35">
        <f>SUM(C6:AG6)</f>
        <v>16</v>
      </c>
    </row>
    <row r="7" spans="1:34">
      <c r="A7" s="107" t="s">
        <v>31</v>
      </c>
      <c r="B7" s="107"/>
      <c r="C7" s="57">
        <v>0</v>
      </c>
      <c r="D7" s="57">
        <f t="shared" ref="D7:AF7" si="0">SUM(D6)</f>
        <v>0</v>
      </c>
      <c r="E7" s="57">
        <f t="shared" si="0"/>
        <v>1</v>
      </c>
      <c r="F7" s="57">
        <f t="shared" si="0"/>
        <v>1</v>
      </c>
      <c r="G7" s="57">
        <f t="shared" si="0"/>
        <v>1</v>
      </c>
      <c r="H7" s="57">
        <f t="shared" si="0"/>
        <v>0</v>
      </c>
      <c r="I7" s="57">
        <f t="shared" si="0"/>
        <v>1</v>
      </c>
      <c r="J7" s="57">
        <f t="shared" si="0"/>
        <v>1</v>
      </c>
      <c r="K7" s="57">
        <f t="shared" si="0"/>
        <v>1</v>
      </c>
      <c r="L7" s="57">
        <f t="shared" si="0"/>
        <v>1</v>
      </c>
      <c r="M7" s="57">
        <f t="shared" si="0"/>
        <v>0</v>
      </c>
      <c r="N7" s="57">
        <f t="shared" si="0"/>
        <v>0</v>
      </c>
      <c r="O7" s="57">
        <f t="shared" si="0"/>
        <v>0</v>
      </c>
      <c r="P7" s="57">
        <f t="shared" si="0"/>
        <v>1</v>
      </c>
      <c r="Q7" s="57">
        <f t="shared" si="0"/>
        <v>1</v>
      </c>
      <c r="R7" s="57">
        <f t="shared" si="0"/>
        <v>1</v>
      </c>
      <c r="S7" s="57">
        <f t="shared" si="0"/>
        <v>0</v>
      </c>
      <c r="T7" s="57">
        <f t="shared" si="0"/>
        <v>0</v>
      </c>
      <c r="U7" s="57">
        <f t="shared" si="0"/>
        <v>0</v>
      </c>
      <c r="V7" s="57">
        <f t="shared" si="0"/>
        <v>0</v>
      </c>
      <c r="W7" s="57">
        <f t="shared" si="0"/>
        <v>1</v>
      </c>
      <c r="X7" s="57">
        <f t="shared" si="0"/>
        <v>0</v>
      </c>
      <c r="Y7" s="57">
        <f t="shared" si="0"/>
        <v>1</v>
      </c>
      <c r="Z7" s="57">
        <f t="shared" si="0"/>
        <v>1</v>
      </c>
      <c r="AA7" s="57">
        <f t="shared" si="0"/>
        <v>1</v>
      </c>
      <c r="AB7" s="57">
        <f t="shared" si="0"/>
        <v>0</v>
      </c>
      <c r="AC7" s="57">
        <f t="shared" si="0"/>
        <v>0</v>
      </c>
      <c r="AD7" s="57">
        <f t="shared" si="0"/>
        <v>1</v>
      </c>
      <c r="AE7" s="57">
        <f t="shared" si="0"/>
        <v>0</v>
      </c>
      <c r="AF7" s="57">
        <f t="shared" si="0"/>
        <v>1</v>
      </c>
      <c r="AG7" s="64">
        <v>0</v>
      </c>
    </row>
    <row r="8" spans="1:34" ht="18">
      <c r="A8" s="61" t="s">
        <v>32</v>
      </c>
      <c r="B8" s="111" t="s">
        <v>66</v>
      </c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64"/>
      <c r="AH8" s="35">
        <f t="shared" ref="AH8:AH67" si="1">SUM(C8:AG8)</f>
        <v>0</v>
      </c>
    </row>
    <row r="9" spans="1:34">
      <c r="A9" s="57">
        <v>2</v>
      </c>
      <c r="B9" s="57" t="s">
        <v>67</v>
      </c>
      <c r="C9" s="57"/>
      <c r="D9" s="57"/>
      <c r="E9" s="57"/>
      <c r="F9" s="57"/>
      <c r="G9" s="57"/>
      <c r="H9" s="57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35">
        <f t="shared" si="1"/>
        <v>0</v>
      </c>
    </row>
    <row r="10" spans="1:34">
      <c r="A10" s="57">
        <v>3</v>
      </c>
      <c r="B10" s="57" t="s">
        <v>68</v>
      </c>
      <c r="C10" s="57"/>
      <c r="D10" s="57"/>
      <c r="E10" s="57"/>
      <c r="F10" s="57"/>
      <c r="G10" s="57"/>
      <c r="H10" s="57"/>
      <c r="I10" s="61"/>
      <c r="J10" s="61"/>
      <c r="K10" s="61"/>
      <c r="L10" s="61"/>
      <c r="M10" s="61"/>
      <c r="N10" s="61">
        <v>2</v>
      </c>
      <c r="O10" s="61"/>
      <c r="P10" s="61">
        <v>2</v>
      </c>
      <c r="Q10" s="61"/>
      <c r="R10" s="61"/>
      <c r="S10" s="61">
        <v>2</v>
      </c>
      <c r="T10" s="61"/>
      <c r="U10" s="61"/>
      <c r="V10" s="61"/>
      <c r="W10" s="61"/>
      <c r="X10" s="61">
        <v>2</v>
      </c>
      <c r="Y10" s="61"/>
      <c r="Z10" s="61"/>
      <c r="AA10" s="61"/>
      <c r="AB10" s="61"/>
      <c r="AC10" s="61"/>
      <c r="AD10" s="61"/>
      <c r="AE10" s="61"/>
      <c r="AF10" s="61"/>
      <c r="AG10" s="61"/>
      <c r="AH10" s="35">
        <f t="shared" si="1"/>
        <v>8</v>
      </c>
    </row>
    <row r="11" spans="1:34">
      <c r="A11" s="57">
        <v>4</v>
      </c>
      <c r="B11" s="57" t="s">
        <v>69</v>
      </c>
      <c r="C11" s="57"/>
      <c r="D11" s="57"/>
      <c r="E11" s="57"/>
      <c r="F11" s="57"/>
      <c r="G11" s="57"/>
      <c r="H11" s="57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35">
        <f t="shared" si="1"/>
        <v>0</v>
      </c>
    </row>
    <row r="12" spans="1:34">
      <c r="A12" s="57">
        <v>5</v>
      </c>
      <c r="B12" s="57" t="s">
        <v>59</v>
      </c>
      <c r="C12" s="57"/>
      <c r="D12" s="57"/>
      <c r="E12" s="57"/>
      <c r="F12" s="57"/>
      <c r="G12" s="57"/>
      <c r="H12" s="57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35">
        <f t="shared" si="1"/>
        <v>0</v>
      </c>
    </row>
    <row r="13" spans="1:34">
      <c r="A13" s="107" t="s">
        <v>31</v>
      </c>
      <c r="B13" s="107"/>
      <c r="C13" s="57">
        <f>SUM(C9:C12)</f>
        <v>0</v>
      </c>
      <c r="D13" s="57">
        <f t="shared" ref="D13:AF13" si="2">SUM(D9:D12)</f>
        <v>0</v>
      </c>
      <c r="E13" s="57">
        <f t="shared" si="2"/>
        <v>0</v>
      </c>
      <c r="F13" s="57">
        <f t="shared" si="2"/>
        <v>0</v>
      </c>
      <c r="G13" s="57">
        <f t="shared" si="2"/>
        <v>0</v>
      </c>
      <c r="H13" s="57">
        <f t="shared" si="2"/>
        <v>0</v>
      </c>
      <c r="I13" s="57">
        <f t="shared" si="2"/>
        <v>0</v>
      </c>
      <c r="J13" s="57">
        <f t="shared" si="2"/>
        <v>0</v>
      </c>
      <c r="K13" s="57">
        <f t="shared" si="2"/>
        <v>0</v>
      </c>
      <c r="L13" s="57">
        <f t="shared" si="2"/>
        <v>0</v>
      </c>
      <c r="M13" s="57">
        <f t="shared" si="2"/>
        <v>0</v>
      </c>
      <c r="N13" s="57">
        <f t="shared" si="2"/>
        <v>2</v>
      </c>
      <c r="O13" s="57">
        <f t="shared" si="2"/>
        <v>0</v>
      </c>
      <c r="P13" s="57">
        <f t="shared" si="2"/>
        <v>2</v>
      </c>
      <c r="Q13" s="57">
        <f t="shared" si="2"/>
        <v>0</v>
      </c>
      <c r="R13" s="57">
        <f t="shared" si="2"/>
        <v>0</v>
      </c>
      <c r="S13" s="57">
        <f t="shared" si="2"/>
        <v>2</v>
      </c>
      <c r="T13" s="57">
        <f t="shared" si="2"/>
        <v>0</v>
      </c>
      <c r="U13" s="57">
        <f t="shared" si="2"/>
        <v>0</v>
      </c>
      <c r="V13" s="57">
        <f t="shared" si="2"/>
        <v>0</v>
      </c>
      <c r="W13" s="57">
        <f t="shared" si="2"/>
        <v>0</v>
      </c>
      <c r="X13" s="57">
        <f t="shared" si="2"/>
        <v>2</v>
      </c>
      <c r="Y13" s="57">
        <f t="shared" si="2"/>
        <v>0</v>
      </c>
      <c r="Z13" s="57">
        <f t="shared" si="2"/>
        <v>0</v>
      </c>
      <c r="AA13" s="57">
        <f t="shared" si="2"/>
        <v>0</v>
      </c>
      <c r="AB13" s="57">
        <f t="shared" si="2"/>
        <v>0</v>
      </c>
      <c r="AC13" s="57">
        <f t="shared" si="2"/>
        <v>0</v>
      </c>
      <c r="AD13" s="57">
        <f t="shared" si="2"/>
        <v>0</v>
      </c>
      <c r="AE13" s="57">
        <f t="shared" si="2"/>
        <v>0</v>
      </c>
      <c r="AF13" s="57">
        <f t="shared" si="2"/>
        <v>0</v>
      </c>
      <c r="AG13" s="57">
        <f t="shared" ref="AG13" si="3">SUM(AG9:AG12)</f>
        <v>0</v>
      </c>
    </row>
    <row r="14" spans="1:34" ht="18">
      <c r="A14" s="61" t="s">
        <v>47</v>
      </c>
      <c r="B14" s="108" t="s">
        <v>70</v>
      </c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10"/>
      <c r="AH14" s="35">
        <f t="shared" si="1"/>
        <v>0</v>
      </c>
    </row>
    <row r="15" spans="1:34">
      <c r="A15" s="57">
        <v>6</v>
      </c>
      <c r="B15" s="57" t="s">
        <v>71</v>
      </c>
      <c r="C15" s="57"/>
      <c r="D15" s="57"/>
      <c r="E15" s="57"/>
      <c r="F15" s="57"/>
      <c r="G15" s="57"/>
      <c r="H15" s="57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35">
        <f t="shared" si="1"/>
        <v>0</v>
      </c>
    </row>
    <row r="16" spans="1:34">
      <c r="A16" s="57">
        <v>7</v>
      </c>
      <c r="B16" s="57" t="s">
        <v>72</v>
      </c>
      <c r="C16" s="57"/>
      <c r="D16" s="57"/>
      <c r="E16" s="57"/>
      <c r="F16" s="57"/>
      <c r="G16" s="57"/>
      <c r="H16" s="57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35">
        <f t="shared" si="1"/>
        <v>0</v>
      </c>
    </row>
    <row r="17" spans="1:34">
      <c r="A17" s="57">
        <v>8</v>
      </c>
      <c r="B17" s="57" t="s">
        <v>73</v>
      </c>
      <c r="C17" s="57"/>
      <c r="D17" s="57"/>
      <c r="E17" s="57"/>
      <c r="F17" s="57"/>
      <c r="G17" s="57"/>
      <c r="H17" s="57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35">
        <f t="shared" si="1"/>
        <v>0</v>
      </c>
    </row>
    <row r="18" spans="1:34">
      <c r="A18" s="57">
        <v>9</v>
      </c>
      <c r="B18" s="57" t="s">
        <v>74</v>
      </c>
      <c r="C18" s="57"/>
      <c r="D18" s="57"/>
      <c r="E18" s="57">
        <v>2</v>
      </c>
      <c r="F18" s="57"/>
      <c r="G18" s="57"/>
      <c r="H18" s="57"/>
      <c r="I18" s="61"/>
      <c r="J18" s="61"/>
      <c r="K18" s="61"/>
      <c r="L18" s="61"/>
      <c r="M18" s="61"/>
      <c r="N18" s="61"/>
      <c r="O18" s="61"/>
      <c r="P18" s="61"/>
      <c r="Q18" s="61">
        <v>2</v>
      </c>
      <c r="R18" s="61">
        <v>2</v>
      </c>
      <c r="S18" s="61"/>
      <c r="T18" s="61"/>
      <c r="U18" s="61"/>
      <c r="V18" s="61"/>
      <c r="W18" s="61"/>
      <c r="X18" s="61"/>
      <c r="Y18" s="61">
        <v>3</v>
      </c>
      <c r="Z18" s="61"/>
      <c r="AA18" s="61"/>
      <c r="AB18" s="61"/>
      <c r="AC18" s="61"/>
      <c r="AD18" s="61">
        <v>2</v>
      </c>
      <c r="AE18" s="61"/>
      <c r="AF18" s="61">
        <v>3</v>
      </c>
      <c r="AG18" s="61"/>
      <c r="AH18" s="35">
        <f t="shared" si="1"/>
        <v>14</v>
      </c>
    </row>
    <row r="19" spans="1:34">
      <c r="A19" s="57">
        <v>10</v>
      </c>
      <c r="B19" s="57" t="s">
        <v>75</v>
      </c>
      <c r="C19" s="57"/>
      <c r="D19" s="57"/>
      <c r="E19" s="57"/>
      <c r="F19" s="57"/>
      <c r="G19" s="57"/>
      <c r="H19" s="57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35">
        <f t="shared" si="1"/>
        <v>0</v>
      </c>
    </row>
    <row r="20" spans="1:34">
      <c r="A20" s="57">
        <v>11</v>
      </c>
      <c r="B20" s="57" t="s">
        <v>59</v>
      </c>
      <c r="C20" s="57"/>
      <c r="D20" s="57"/>
      <c r="E20" s="57"/>
      <c r="F20" s="57"/>
      <c r="G20" s="57"/>
      <c r="H20" s="57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35">
        <f t="shared" si="1"/>
        <v>0</v>
      </c>
    </row>
    <row r="21" spans="1:34">
      <c r="A21" s="107" t="s">
        <v>31</v>
      </c>
      <c r="B21" s="107"/>
      <c r="C21" s="57">
        <f>SUM(C18:C20)</f>
        <v>0</v>
      </c>
      <c r="D21" s="57">
        <f t="shared" ref="D21:AG21" si="4">SUM(D18:D20)</f>
        <v>0</v>
      </c>
      <c r="E21" s="57">
        <f t="shared" si="4"/>
        <v>2</v>
      </c>
      <c r="F21" s="57">
        <f t="shared" si="4"/>
        <v>0</v>
      </c>
      <c r="G21" s="57">
        <f t="shared" si="4"/>
        <v>0</v>
      </c>
      <c r="H21" s="57">
        <f t="shared" si="4"/>
        <v>0</v>
      </c>
      <c r="I21" s="57">
        <f t="shared" si="4"/>
        <v>0</v>
      </c>
      <c r="J21" s="57">
        <f t="shared" si="4"/>
        <v>0</v>
      </c>
      <c r="K21" s="57">
        <f t="shared" si="4"/>
        <v>0</v>
      </c>
      <c r="L21" s="57">
        <f t="shared" si="4"/>
        <v>0</v>
      </c>
      <c r="M21" s="57">
        <f t="shared" si="4"/>
        <v>0</v>
      </c>
      <c r="N21" s="57">
        <f t="shared" si="4"/>
        <v>0</v>
      </c>
      <c r="O21" s="57">
        <f t="shared" si="4"/>
        <v>0</v>
      </c>
      <c r="P21" s="57">
        <f t="shared" si="4"/>
        <v>0</v>
      </c>
      <c r="Q21" s="57">
        <f t="shared" si="4"/>
        <v>2</v>
      </c>
      <c r="R21" s="57">
        <f t="shared" si="4"/>
        <v>2</v>
      </c>
      <c r="S21" s="57">
        <f t="shared" si="4"/>
        <v>0</v>
      </c>
      <c r="T21" s="57">
        <f t="shared" si="4"/>
        <v>0</v>
      </c>
      <c r="U21" s="57">
        <f t="shared" si="4"/>
        <v>0</v>
      </c>
      <c r="V21" s="57">
        <f t="shared" si="4"/>
        <v>0</v>
      </c>
      <c r="W21" s="57">
        <f t="shared" si="4"/>
        <v>0</v>
      </c>
      <c r="X21" s="57">
        <f t="shared" si="4"/>
        <v>0</v>
      </c>
      <c r="Y21" s="57">
        <f t="shared" si="4"/>
        <v>3</v>
      </c>
      <c r="Z21" s="57">
        <f t="shared" si="4"/>
        <v>0</v>
      </c>
      <c r="AA21" s="57">
        <f t="shared" si="4"/>
        <v>0</v>
      </c>
      <c r="AB21" s="57">
        <f t="shared" si="4"/>
        <v>0</v>
      </c>
      <c r="AC21" s="57">
        <f t="shared" si="4"/>
        <v>0</v>
      </c>
      <c r="AD21" s="57">
        <f t="shared" si="4"/>
        <v>2</v>
      </c>
      <c r="AE21" s="57">
        <f t="shared" si="4"/>
        <v>0</v>
      </c>
      <c r="AF21" s="57">
        <f t="shared" si="4"/>
        <v>3</v>
      </c>
      <c r="AG21" s="57">
        <f t="shared" si="4"/>
        <v>0</v>
      </c>
    </row>
    <row r="22" spans="1:34" ht="18">
      <c r="A22" s="61" t="s">
        <v>53</v>
      </c>
      <c r="B22" s="108" t="s">
        <v>76</v>
      </c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10"/>
      <c r="AH22" s="35">
        <f t="shared" si="1"/>
        <v>0</v>
      </c>
    </row>
    <row r="23" spans="1:34">
      <c r="A23" s="57">
        <v>12</v>
      </c>
      <c r="B23" s="57" t="s">
        <v>77</v>
      </c>
      <c r="C23" s="57"/>
      <c r="D23" s="57"/>
      <c r="E23" s="57"/>
      <c r="F23" s="57"/>
      <c r="G23" s="57"/>
      <c r="H23" s="57"/>
      <c r="I23" s="61">
        <v>2</v>
      </c>
      <c r="J23" s="61">
        <v>1</v>
      </c>
      <c r="K23" s="61"/>
      <c r="L23" s="61">
        <v>2</v>
      </c>
      <c r="M23" s="61">
        <v>1</v>
      </c>
      <c r="N23" s="61"/>
      <c r="O23" s="61"/>
      <c r="P23" s="61">
        <v>2</v>
      </c>
      <c r="Q23" s="61"/>
      <c r="R23" s="61">
        <v>1</v>
      </c>
      <c r="S23" s="61"/>
      <c r="T23" s="61"/>
      <c r="U23" s="61"/>
      <c r="V23" s="61"/>
      <c r="W23" s="61"/>
      <c r="X23" s="61"/>
      <c r="Y23" s="61">
        <v>2</v>
      </c>
      <c r="Z23" s="61"/>
      <c r="AA23" s="61"/>
      <c r="AB23" s="61">
        <v>2</v>
      </c>
      <c r="AC23" s="61"/>
      <c r="AD23" s="61">
        <v>2</v>
      </c>
      <c r="AE23" s="61">
        <v>1</v>
      </c>
      <c r="AF23" s="61"/>
      <c r="AG23" s="61">
        <v>1</v>
      </c>
      <c r="AH23" s="35">
        <f t="shared" si="1"/>
        <v>17</v>
      </c>
    </row>
    <row r="24" spans="1:34">
      <c r="A24" s="57">
        <v>13</v>
      </c>
      <c r="B24" s="57" t="s">
        <v>78</v>
      </c>
      <c r="C24" s="57"/>
      <c r="D24" s="57"/>
      <c r="E24" s="57"/>
      <c r="F24" s="57"/>
      <c r="G24" s="57"/>
      <c r="H24" s="57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35">
        <f t="shared" si="1"/>
        <v>0</v>
      </c>
    </row>
    <row r="25" spans="1:34">
      <c r="A25" s="57">
        <v>14</v>
      </c>
      <c r="B25" s="57" t="s">
        <v>59</v>
      </c>
      <c r="C25" s="57"/>
      <c r="D25" s="57"/>
      <c r="E25" s="57"/>
      <c r="F25" s="57"/>
      <c r="G25" s="57"/>
      <c r="H25" s="57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35">
        <f t="shared" si="1"/>
        <v>0</v>
      </c>
    </row>
    <row r="26" spans="1:34">
      <c r="A26" s="107" t="s">
        <v>31</v>
      </c>
      <c r="B26" s="107"/>
      <c r="C26" s="57">
        <f>SUM(C23:C25)</f>
        <v>0</v>
      </c>
      <c r="D26" s="57">
        <f t="shared" ref="D26:AF26" si="5">SUM(D23:D25)</f>
        <v>0</v>
      </c>
      <c r="E26" s="57">
        <f t="shared" si="5"/>
        <v>0</v>
      </c>
      <c r="F26" s="57">
        <f t="shared" si="5"/>
        <v>0</v>
      </c>
      <c r="G26" s="57">
        <f t="shared" si="5"/>
        <v>0</v>
      </c>
      <c r="H26" s="57">
        <f t="shared" si="5"/>
        <v>0</v>
      </c>
      <c r="I26" s="57">
        <f t="shared" si="5"/>
        <v>2</v>
      </c>
      <c r="J26" s="57">
        <f t="shared" si="5"/>
        <v>1</v>
      </c>
      <c r="K26" s="57">
        <f t="shared" si="5"/>
        <v>0</v>
      </c>
      <c r="L26" s="57">
        <f t="shared" si="5"/>
        <v>2</v>
      </c>
      <c r="M26" s="57">
        <f t="shared" si="5"/>
        <v>1</v>
      </c>
      <c r="N26" s="57">
        <f t="shared" si="5"/>
        <v>0</v>
      </c>
      <c r="O26" s="57">
        <f t="shared" si="5"/>
        <v>0</v>
      </c>
      <c r="P26" s="57">
        <f t="shared" si="5"/>
        <v>2</v>
      </c>
      <c r="Q26" s="57">
        <f t="shared" si="5"/>
        <v>0</v>
      </c>
      <c r="R26" s="57">
        <f t="shared" si="5"/>
        <v>1</v>
      </c>
      <c r="S26" s="57">
        <f t="shared" si="5"/>
        <v>0</v>
      </c>
      <c r="T26" s="57">
        <f t="shared" si="5"/>
        <v>0</v>
      </c>
      <c r="U26" s="57">
        <f t="shared" si="5"/>
        <v>0</v>
      </c>
      <c r="V26" s="57">
        <f t="shared" si="5"/>
        <v>0</v>
      </c>
      <c r="W26" s="57">
        <f t="shared" si="5"/>
        <v>0</v>
      </c>
      <c r="X26" s="57">
        <f t="shared" si="5"/>
        <v>0</v>
      </c>
      <c r="Y26" s="57">
        <f t="shared" si="5"/>
        <v>2</v>
      </c>
      <c r="Z26" s="57">
        <f t="shared" si="5"/>
        <v>0</v>
      </c>
      <c r="AA26" s="57">
        <f t="shared" si="5"/>
        <v>0</v>
      </c>
      <c r="AB26" s="57">
        <f t="shared" si="5"/>
        <v>2</v>
      </c>
      <c r="AC26" s="57">
        <f t="shared" si="5"/>
        <v>0</v>
      </c>
      <c r="AD26" s="57">
        <f t="shared" si="5"/>
        <v>2</v>
      </c>
      <c r="AE26" s="57">
        <f t="shared" si="5"/>
        <v>1</v>
      </c>
      <c r="AF26" s="57">
        <f t="shared" si="5"/>
        <v>0</v>
      </c>
      <c r="AG26" s="57">
        <f t="shared" ref="AG26" si="6">SUM(AG23:AG25)</f>
        <v>1</v>
      </c>
    </row>
    <row r="27" spans="1:34" ht="18">
      <c r="A27" s="61" t="s">
        <v>55</v>
      </c>
      <c r="B27" s="65" t="s">
        <v>79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6"/>
      <c r="AG27" s="64"/>
      <c r="AH27" s="35">
        <f t="shared" si="1"/>
        <v>0</v>
      </c>
    </row>
    <row r="28" spans="1:34">
      <c r="A28" s="57">
        <v>15</v>
      </c>
      <c r="B28" s="57" t="s">
        <v>80</v>
      </c>
      <c r="C28" s="57"/>
      <c r="D28" s="57"/>
      <c r="E28" s="57"/>
      <c r="F28" s="57"/>
      <c r="G28" s="57"/>
      <c r="H28" s="57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35">
        <f t="shared" si="1"/>
        <v>0</v>
      </c>
    </row>
    <row r="29" spans="1:34">
      <c r="A29" s="57">
        <v>16</v>
      </c>
      <c r="B29" s="57" t="s">
        <v>81</v>
      </c>
      <c r="C29" s="57"/>
      <c r="D29" s="57"/>
      <c r="E29" s="57">
        <v>1</v>
      </c>
      <c r="F29" s="57">
        <v>1</v>
      </c>
      <c r="G29" s="57">
        <v>1</v>
      </c>
      <c r="H29" s="57"/>
      <c r="I29" s="61"/>
      <c r="J29" s="61">
        <v>2</v>
      </c>
      <c r="K29" s="61">
        <v>1</v>
      </c>
      <c r="L29" s="61"/>
      <c r="M29" s="61">
        <v>1</v>
      </c>
      <c r="N29" s="61"/>
      <c r="O29" s="61"/>
      <c r="P29" s="61"/>
      <c r="Q29" s="61"/>
      <c r="R29" s="61"/>
      <c r="S29" s="61"/>
      <c r="T29" s="61"/>
      <c r="U29" s="61"/>
      <c r="V29" s="61"/>
      <c r="W29" s="61">
        <v>1</v>
      </c>
      <c r="X29" s="61"/>
      <c r="Y29" s="61"/>
      <c r="Z29" s="61"/>
      <c r="AA29" s="61"/>
      <c r="AB29" s="61"/>
      <c r="AC29" s="61"/>
      <c r="AD29" s="61"/>
      <c r="AE29" s="61">
        <v>2</v>
      </c>
      <c r="AF29" s="61"/>
      <c r="AG29" s="61">
        <v>2</v>
      </c>
      <c r="AH29" s="35">
        <f t="shared" si="1"/>
        <v>12</v>
      </c>
    </row>
    <row r="30" spans="1:34">
      <c r="A30" s="57">
        <v>17</v>
      </c>
      <c r="B30" s="57" t="s">
        <v>82</v>
      </c>
      <c r="C30" s="57"/>
      <c r="D30" s="57"/>
      <c r="E30" s="57"/>
      <c r="F30" s="57"/>
      <c r="G30" s="57"/>
      <c r="H30" s="57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35">
        <f t="shared" si="1"/>
        <v>0</v>
      </c>
    </row>
    <row r="31" spans="1:34">
      <c r="A31" s="57">
        <v>18</v>
      </c>
      <c r="B31" s="57" t="s">
        <v>59</v>
      </c>
      <c r="C31" s="57"/>
      <c r="D31" s="57"/>
      <c r="E31" s="57"/>
      <c r="F31" s="57"/>
      <c r="G31" s="57"/>
      <c r="H31" s="57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35">
        <f t="shared" si="1"/>
        <v>0</v>
      </c>
    </row>
    <row r="32" spans="1:34">
      <c r="A32" s="107" t="s">
        <v>31</v>
      </c>
      <c r="B32" s="107"/>
      <c r="C32" s="57">
        <f>SUM(C28:C31)</f>
        <v>0</v>
      </c>
      <c r="D32" s="57">
        <f t="shared" ref="D32:AF32" si="7">SUM(D28:D31)</f>
        <v>0</v>
      </c>
      <c r="E32" s="57">
        <f t="shared" si="7"/>
        <v>1</v>
      </c>
      <c r="F32" s="57">
        <f t="shared" si="7"/>
        <v>1</v>
      </c>
      <c r="G32" s="57">
        <f t="shared" si="7"/>
        <v>1</v>
      </c>
      <c r="H32" s="57">
        <f t="shared" si="7"/>
        <v>0</v>
      </c>
      <c r="I32" s="57">
        <f t="shared" si="7"/>
        <v>0</v>
      </c>
      <c r="J32" s="57">
        <f t="shared" si="7"/>
        <v>2</v>
      </c>
      <c r="K32" s="57">
        <f t="shared" si="7"/>
        <v>1</v>
      </c>
      <c r="L32" s="57">
        <f t="shared" si="7"/>
        <v>0</v>
      </c>
      <c r="M32" s="57">
        <f t="shared" si="7"/>
        <v>1</v>
      </c>
      <c r="N32" s="57">
        <f t="shared" si="7"/>
        <v>0</v>
      </c>
      <c r="O32" s="57">
        <f t="shared" si="7"/>
        <v>0</v>
      </c>
      <c r="P32" s="57">
        <f t="shared" si="7"/>
        <v>0</v>
      </c>
      <c r="Q32" s="57">
        <f t="shared" si="7"/>
        <v>0</v>
      </c>
      <c r="R32" s="57">
        <f t="shared" si="7"/>
        <v>0</v>
      </c>
      <c r="S32" s="57">
        <f t="shared" si="7"/>
        <v>0</v>
      </c>
      <c r="T32" s="57">
        <f t="shared" si="7"/>
        <v>0</v>
      </c>
      <c r="U32" s="57">
        <f t="shared" si="7"/>
        <v>0</v>
      </c>
      <c r="V32" s="57">
        <f t="shared" si="7"/>
        <v>0</v>
      </c>
      <c r="W32" s="57">
        <f t="shared" si="7"/>
        <v>1</v>
      </c>
      <c r="X32" s="57">
        <f t="shared" si="7"/>
        <v>0</v>
      </c>
      <c r="Y32" s="57">
        <f t="shared" si="7"/>
        <v>0</v>
      </c>
      <c r="Z32" s="57">
        <f t="shared" si="7"/>
        <v>0</v>
      </c>
      <c r="AA32" s="57">
        <f t="shared" si="7"/>
        <v>0</v>
      </c>
      <c r="AB32" s="57">
        <f t="shared" si="7"/>
        <v>0</v>
      </c>
      <c r="AC32" s="57">
        <f t="shared" si="7"/>
        <v>0</v>
      </c>
      <c r="AD32" s="57">
        <f t="shared" si="7"/>
        <v>0</v>
      </c>
      <c r="AE32" s="57">
        <f t="shared" si="7"/>
        <v>2</v>
      </c>
      <c r="AF32" s="57">
        <f t="shared" si="7"/>
        <v>0</v>
      </c>
      <c r="AG32" s="57">
        <f t="shared" ref="AG32" si="8">SUM(AG28:AG31)</f>
        <v>2</v>
      </c>
    </row>
    <row r="33" spans="1:34" ht="18">
      <c r="A33" s="61" t="s">
        <v>11</v>
      </c>
      <c r="B33" s="65" t="s">
        <v>83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6"/>
      <c r="AG33" s="64"/>
      <c r="AH33" s="35">
        <f t="shared" si="1"/>
        <v>0</v>
      </c>
    </row>
    <row r="34" spans="1:34">
      <c r="A34" s="57">
        <v>19</v>
      </c>
      <c r="B34" s="57" t="s">
        <v>84</v>
      </c>
      <c r="C34" s="57"/>
      <c r="D34" s="57"/>
      <c r="E34" s="57">
        <v>1</v>
      </c>
      <c r="F34" s="57"/>
      <c r="G34" s="57"/>
      <c r="H34" s="57"/>
      <c r="I34" s="61">
        <v>2</v>
      </c>
      <c r="J34" s="61"/>
      <c r="K34" s="61">
        <v>2</v>
      </c>
      <c r="L34" s="61"/>
      <c r="M34" s="61">
        <v>2</v>
      </c>
      <c r="N34" s="61"/>
      <c r="O34" s="61"/>
      <c r="P34" s="61"/>
      <c r="Q34" s="61">
        <v>1</v>
      </c>
      <c r="R34" s="61"/>
      <c r="S34" s="61"/>
      <c r="T34" s="61"/>
      <c r="U34" s="61"/>
      <c r="V34" s="61"/>
      <c r="W34" s="61"/>
      <c r="X34" s="61">
        <v>2</v>
      </c>
      <c r="Y34" s="61"/>
      <c r="Z34" s="61">
        <v>2</v>
      </c>
      <c r="AA34" s="61">
        <v>3</v>
      </c>
      <c r="AB34" s="61"/>
      <c r="AC34" s="61"/>
      <c r="AD34" s="61"/>
      <c r="AE34" s="61"/>
      <c r="AF34" s="61"/>
      <c r="AG34" s="61"/>
      <c r="AH34" s="35">
        <f t="shared" si="1"/>
        <v>15</v>
      </c>
    </row>
    <row r="35" spans="1:34">
      <c r="A35" s="57">
        <v>20</v>
      </c>
      <c r="B35" s="57" t="s">
        <v>85</v>
      </c>
      <c r="C35" s="57"/>
      <c r="D35" s="57"/>
      <c r="E35" s="57"/>
      <c r="F35" s="57"/>
      <c r="G35" s="57"/>
      <c r="H35" s="57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35">
        <f t="shared" si="1"/>
        <v>0</v>
      </c>
    </row>
    <row r="36" spans="1:34">
      <c r="A36" s="57">
        <v>21</v>
      </c>
      <c r="B36" s="57" t="s">
        <v>86</v>
      </c>
      <c r="C36" s="57"/>
      <c r="D36" s="57"/>
      <c r="E36" s="57"/>
      <c r="F36" s="57"/>
      <c r="G36" s="57"/>
      <c r="H36" s="57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35">
        <f t="shared" si="1"/>
        <v>0</v>
      </c>
    </row>
    <row r="37" spans="1:34">
      <c r="A37" s="57">
        <v>22</v>
      </c>
      <c r="B37" s="57" t="s">
        <v>59</v>
      </c>
      <c r="C37" s="57"/>
      <c r="D37" s="57"/>
      <c r="E37" s="57"/>
      <c r="F37" s="57"/>
      <c r="G37" s="57"/>
      <c r="H37" s="57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35">
        <f t="shared" si="1"/>
        <v>0</v>
      </c>
    </row>
    <row r="38" spans="1:34">
      <c r="A38" s="107" t="s">
        <v>31</v>
      </c>
      <c r="B38" s="107"/>
      <c r="C38" s="57">
        <f>SUM(C34:C37)</f>
        <v>0</v>
      </c>
      <c r="D38" s="57">
        <f t="shared" ref="D38:AF38" si="9">SUM(D34:D37)</f>
        <v>0</v>
      </c>
      <c r="E38" s="57">
        <f t="shared" si="9"/>
        <v>1</v>
      </c>
      <c r="F38" s="57">
        <f t="shared" si="9"/>
        <v>0</v>
      </c>
      <c r="G38" s="57">
        <f t="shared" si="9"/>
        <v>0</v>
      </c>
      <c r="H38" s="57">
        <f t="shared" si="9"/>
        <v>0</v>
      </c>
      <c r="I38" s="57">
        <f t="shared" si="9"/>
        <v>2</v>
      </c>
      <c r="J38" s="57">
        <f t="shared" si="9"/>
        <v>0</v>
      </c>
      <c r="K38" s="57">
        <f t="shared" si="9"/>
        <v>2</v>
      </c>
      <c r="L38" s="57">
        <f t="shared" si="9"/>
        <v>0</v>
      </c>
      <c r="M38" s="57">
        <f t="shared" si="9"/>
        <v>2</v>
      </c>
      <c r="N38" s="57">
        <f t="shared" si="9"/>
        <v>0</v>
      </c>
      <c r="O38" s="57">
        <f t="shared" si="9"/>
        <v>0</v>
      </c>
      <c r="P38" s="57">
        <f t="shared" si="9"/>
        <v>0</v>
      </c>
      <c r="Q38" s="57">
        <f t="shared" si="9"/>
        <v>1</v>
      </c>
      <c r="R38" s="57">
        <f t="shared" si="9"/>
        <v>0</v>
      </c>
      <c r="S38" s="57">
        <f t="shared" si="9"/>
        <v>0</v>
      </c>
      <c r="T38" s="57">
        <f t="shared" si="9"/>
        <v>0</v>
      </c>
      <c r="U38" s="57">
        <f t="shared" si="9"/>
        <v>0</v>
      </c>
      <c r="V38" s="57">
        <f t="shared" si="9"/>
        <v>0</v>
      </c>
      <c r="W38" s="57">
        <f t="shared" si="9"/>
        <v>0</v>
      </c>
      <c r="X38" s="57">
        <f t="shared" si="9"/>
        <v>2</v>
      </c>
      <c r="Y38" s="57">
        <f t="shared" si="9"/>
        <v>0</v>
      </c>
      <c r="Z38" s="57">
        <f t="shared" si="9"/>
        <v>2</v>
      </c>
      <c r="AA38" s="57">
        <f t="shared" si="9"/>
        <v>3</v>
      </c>
      <c r="AB38" s="57">
        <f t="shared" si="9"/>
        <v>0</v>
      </c>
      <c r="AC38" s="57">
        <f t="shared" si="9"/>
        <v>0</v>
      </c>
      <c r="AD38" s="57">
        <f t="shared" si="9"/>
        <v>0</v>
      </c>
      <c r="AE38" s="57">
        <f t="shared" si="9"/>
        <v>0</v>
      </c>
      <c r="AF38" s="57">
        <f t="shared" si="9"/>
        <v>0</v>
      </c>
      <c r="AG38" s="57">
        <f t="shared" ref="AG38" si="10">SUM(AG34:AG37)</f>
        <v>0</v>
      </c>
    </row>
    <row r="39" spans="1:34" ht="18">
      <c r="A39" s="61" t="s">
        <v>56</v>
      </c>
      <c r="B39" s="108" t="s">
        <v>87</v>
      </c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10"/>
      <c r="AH39" s="35">
        <f t="shared" si="1"/>
        <v>0</v>
      </c>
    </row>
    <row r="40" spans="1:34">
      <c r="A40" s="57">
        <v>23</v>
      </c>
      <c r="B40" s="57" t="s">
        <v>88</v>
      </c>
      <c r="C40" s="57"/>
      <c r="D40" s="57"/>
      <c r="E40" s="57"/>
      <c r="F40" s="57"/>
      <c r="G40" s="57"/>
      <c r="H40" s="57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4"/>
      <c r="AH40" s="35">
        <f t="shared" si="1"/>
        <v>0</v>
      </c>
    </row>
    <row r="41" spans="1:34">
      <c r="A41" s="57">
        <v>24</v>
      </c>
      <c r="B41" s="57" t="s">
        <v>89</v>
      </c>
      <c r="C41" s="57"/>
      <c r="D41" s="57"/>
      <c r="E41" s="57"/>
      <c r="F41" s="57"/>
      <c r="G41" s="57"/>
      <c r="H41" s="57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4"/>
      <c r="AH41" s="35">
        <f t="shared" si="1"/>
        <v>0</v>
      </c>
    </row>
    <row r="42" spans="1:34" ht="27.6">
      <c r="A42" s="57">
        <v>25</v>
      </c>
      <c r="B42" s="58" t="s">
        <v>90</v>
      </c>
      <c r="C42" s="57"/>
      <c r="D42" s="57"/>
      <c r="E42" s="57"/>
      <c r="F42" s="57"/>
      <c r="G42" s="57"/>
      <c r="H42" s="57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4"/>
      <c r="AH42" s="35">
        <f t="shared" si="1"/>
        <v>0</v>
      </c>
    </row>
    <row r="43" spans="1:34">
      <c r="A43" s="57">
        <v>26</v>
      </c>
      <c r="B43" s="57" t="s">
        <v>91</v>
      </c>
      <c r="C43" s="57"/>
      <c r="D43" s="57"/>
      <c r="E43" s="57"/>
      <c r="F43" s="57"/>
      <c r="G43" s="57"/>
      <c r="H43" s="57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4"/>
      <c r="AH43" s="35">
        <f t="shared" si="1"/>
        <v>0</v>
      </c>
    </row>
    <row r="44" spans="1:34">
      <c r="A44" s="57">
        <v>27</v>
      </c>
      <c r="B44" s="57" t="s">
        <v>92</v>
      </c>
      <c r="C44" s="57"/>
      <c r="D44" s="57"/>
      <c r="E44" s="57"/>
      <c r="F44" s="57"/>
      <c r="G44" s="57"/>
      <c r="H44" s="57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4"/>
      <c r="AH44" s="35">
        <f t="shared" si="1"/>
        <v>0</v>
      </c>
    </row>
    <row r="45" spans="1:34">
      <c r="A45" s="57">
        <v>28</v>
      </c>
      <c r="B45" s="57" t="s">
        <v>93</v>
      </c>
      <c r="C45" s="57"/>
      <c r="D45" s="57"/>
      <c r="E45" s="57"/>
      <c r="F45" s="57"/>
      <c r="G45" s="57"/>
      <c r="H45" s="57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4"/>
      <c r="AH45" s="35">
        <f t="shared" si="1"/>
        <v>0</v>
      </c>
    </row>
    <row r="46" spans="1:34">
      <c r="A46" s="57">
        <v>29</v>
      </c>
      <c r="B46" s="57" t="s">
        <v>59</v>
      </c>
      <c r="C46" s="57"/>
      <c r="D46" s="57"/>
      <c r="E46" s="57"/>
      <c r="F46" s="57"/>
      <c r="G46" s="57"/>
      <c r="H46" s="57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4"/>
      <c r="AH46" s="35">
        <f t="shared" si="1"/>
        <v>0</v>
      </c>
    </row>
    <row r="47" spans="1:34">
      <c r="A47" s="107" t="s">
        <v>31</v>
      </c>
      <c r="B47" s="107"/>
      <c r="C47" s="57">
        <f>SUM(C40:C46)</f>
        <v>0</v>
      </c>
      <c r="D47" s="57">
        <f t="shared" ref="D47:AF47" si="11">SUM(D40:D46)</f>
        <v>0</v>
      </c>
      <c r="E47" s="57">
        <f t="shared" si="11"/>
        <v>0</v>
      </c>
      <c r="F47" s="57">
        <f t="shared" si="11"/>
        <v>0</v>
      </c>
      <c r="G47" s="57">
        <f t="shared" si="11"/>
        <v>0</v>
      </c>
      <c r="H47" s="57">
        <f t="shared" si="11"/>
        <v>0</v>
      </c>
      <c r="I47" s="57">
        <f t="shared" si="11"/>
        <v>0</v>
      </c>
      <c r="J47" s="57">
        <f t="shared" si="11"/>
        <v>0</v>
      </c>
      <c r="K47" s="57">
        <f t="shared" si="11"/>
        <v>0</v>
      </c>
      <c r="L47" s="57">
        <f t="shared" si="11"/>
        <v>0</v>
      </c>
      <c r="M47" s="57">
        <f t="shared" si="11"/>
        <v>0</v>
      </c>
      <c r="N47" s="57">
        <f t="shared" si="11"/>
        <v>0</v>
      </c>
      <c r="O47" s="57">
        <f t="shared" si="11"/>
        <v>0</v>
      </c>
      <c r="P47" s="57">
        <f t="shared" si="11"/>
        <v>0</v>
      </c>
      <c r="Q47" s="57">
        <f t="shared" si="11"/>
        <v>0</v>
      </c>
      <c r="R47" s="57">
        <f t="shared" si="11"/>
        <v>0</v>
      </c>
      <c r="S47" s="57">
        <f t="shared" si="11"/>
        <v>0</v>
      </c>
      <c r="T47" s="57">
        <f t="shared" si="11"/>
        <v>0</v>
      </c>
      <c r="U47" s="57">
        <f t="shared" si="11"/>
        <v>0</v>
      </c>
      <c r="V47" s="57">
        <f t="shared" si="11"/>
        <v>0</v>
      </c>
      <c r="W47" s="57">
        <f t="shared" si="11"/>
        <v>0</v>
      </c>
      <c r="X47" s="57">
        <f t="shared" si="11"/>
        <v>0</v>
      </c>
      <c r="Y47" s="57">
        <f t="shared" si="11"/>
        <v>0</v>
      </c>
      <c r="Z47" s="57">
        <f t="shared" si="11"/>
        <v>0</v>
      </c>
      <c r="AA47" s="57">
        <f t="shared" si="11"/>
        <v>0</v>
      </c>
      <c r="AB47" s="57">
        <f t="shared" si="11"/>
        <v>0</v>
      </c>
      <c r="AC47" s="57">
        <f t="shared" si="11"/>
        <v>0</v>
      </c>
      <c r="AD47" s="57">
        <f t="shared" si="11"/>
        <v>0</v>
      </c>
      <c r="AE47" s="57">
        <f t="shared" si="11"/>
        <v>0</v>
      </c>
      <c r="AF47" s="57">
        <f t="shared" si="11"/>
        <v>0</v>
      </c>
      <c r="AG47" s="64"/>
      <c r="AH47" s="35">
        <f t="shared" si="1"/>
        <v>0</v>
      </c>
    </row>
    <row r="48" spans="1:34" ht="18">
      <c r="A48" s="61" t="s">
        <v>57</v>
      </c>
      <c r="B48" s="108" t="s">
        <v>94</v>
      </c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10"/>
    </row>
    <row r="49" spans="1:34">
      <c r="A49" s="57">
        <v>30</v>
      </c>
      <c r="B49" s="57" t="s">
        <v>95</v>
      </c>
      <c r="C49" s="57"/>
      <c r="D49" s="57"/>
      <c r="E49" s="57"/>
      <c r="F49" s="57"/>
      <c r="G49" s="57"/>
      <c r="H49" s="57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35">
        <f t="shared" si="1"/>
        <v>0</v>
      </c>
    </row>
    <row r="50" spans="1:34">
      <c r="A50" s="57">
        <v>31</v>
      </c>
      <c r="B50" s="57" t="s">
        <v>96</v>
      </c>
      <c r="C50" s="57"/>
      <c r="D50" s="57"/>
      <c r="E50" s="57"/>
      <c r="F50" s="57"/>
      <c r="G50" s="57"/>
      <c r="H50" s="57"/>
      <c r="I50" s="61"/>
      <c r="J50" s="61"/>
      <c r="K50" s="61"/>
      <c r="L50" s="61">
        <v>1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35">
        <f t="shared" si="1"/>
        <v>1</v>
      </c>
    </row>
    <row r="51" spans="1:34">
      <c r="A51" s="57">
        <v>32</v>
      </c>
      <c r="B51" s="58" t="s">
        <v>97</v>
      </c>
      <c r="C51" s="57"/>
      <c r="D51" s="57"/>
      <c r="E51" s="57"/>
      <c r="F51" s="57"/>
      <c r="G51" s="57"/>
      <c r="H51" s="57"/>
      <c r="I51" s="61">
        <v>1</v>
      </c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>
        <v>1</v>
      </c>
      <c r="AB51" s="61"/>
      <c r="AC51" s="61"/>
      <c r="AD51" s="61"/>
      <c r="AE51" s="61"/>
      <c r="AF51" s="61"/>
      <c r="AG51" s="61"/>
      <c r="AH51" s="35">
        <f t="shared" si="1"/>
        <v>2</v>
      </c>
    </row>
    <row r="52" spans="1:34">
      <c r="A52" s="57">
        <v>33</v>
      </c>
      <c r="B52" s="57" t="s">
        <v>98</v>
      </c>
      <c r="C52" s="57"/>
      <c r="D52" s="57"/>
      <c r="E52" s="57"/>
      <c r="F52" s="57"/>
      <c r="G52" s="57"/>
      <c r="H52" s="57"/>
      <c r="I52" s="61"/>
      <c r="J52" s="61"/>
      <c r="K52" s="61">
        <v>1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35">
        <f t="shared" si="1"/>
        <v>1</v>
      </c>
    </row>
    <row r="53" spans="1:34">
      <c r="A53" s="57">
        <v>34</v>
      </c>
      <c r="B53" s="57" t="s">
        <v>99</v>
      </c>
      <c r="C53" s="57"/>
      <c r="D53" s="57"/>
      <c r="E53" s="57"/>
      <c r="F53" s="57">
        <v>1</v>
      </c>
      <c r="G53" s="57"/>
      <c r="H53" s="57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>
        <v>1</v>
      </c>
      <c r="X53" s="61"/>
      <c r="Y53" s="61"/>
      <c r="Z53" s="61"/>
      <c r="AA53" s="61">
        <v>1</v>
      </c>
      <c r="AB53" s="61"/>
      <c r="AC53" s="61"/>
      <c r="AD53" s="61"/>
      <c r="AE53" s="61"/>
      <c r="AF53" s="61"/>
      <c r="AG53" s="61"/>
      <c r="AH53" s="35">
        <f t="shared" si="1"/>
        <v>3</v>
      </c>
    </row>
    <row r="54" spans="1:34">
      <c r="A54" s="57">
        <v>35</v>
      </c>
      <c r="B54" s="57" t="s">
        <v>100</v>
      </c>
      <c r="C54" s="57"/>
      <c r="D54" s="57"/>
      <c r="E54" s="57"/>
      <c r="F54" s="57"/>
      <c r="G54" s="57"/>
      <c r="H54" s="57"/>
      <c r="I54" s="61"/>
      <c r="J54" s="61"/>
      <c r="K54" s="61">
        <v>1</v>
      </c>
      <c r="L54" s="61">
        <v>1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35">
        <f t="shared" si="1"/>
        <v>2</v>
      </c>
    </row>
    <row r="55" spans="1:34">
      <c r="A55" s="57">
        <v>36</v>
      </c>
      <c r="B55" s="57" t="s">
        <v>101</v>
      </c>
      <c r="C55" s="57"/>
      <c r="D55" s="57"/>
      <c r="E55" s="57"/>
      <c r="F55" s="57"/>
      <c r="G55" s="57"/>
      <c r="H55" s="57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35">
        <f t="shared" si="1"/>
        <v>0</v>
      </c>
    </row>
    <row r="56" spans="1:34">
      <c r="A56" s="57">
        <v>37</v>
      </c>
      <c r="B56" s="57" t="s">
        <v>59</v>
      </c>
      <c r="C56" s="57"/>
      <c r="D56" s="57"/>
      <c r="E56" s="57"/>
      <c r="F56" s="57">
        <v>1</v>
      </c>
      <c r="G56" s="57"/>
      <c r="H56" s="57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>
        <v>1</v>
      </c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35">
        <f t="shared" si="1"/>
        <v>2</v>
      </c>
    </row>
    <row r="57" spans="1:34">
      <c r="A57" s="107" t="s">
        <v>31</v>
      </c>
      <c r="B57" s="107"/>
      <c r="C57" s="57">
        <f>SUM(C49:C56)</f>
        <v>0</v>
      </c>
      <c r="D57" s="57">
        <f t="shared" ref="D57:AF57" si="12">SUM(D49:D56)</f>
        <v>0</v>
      </c>
      <c r="E57" s="57">
        <f t="shared" si="12"/>
        <v>0</v>
      </c>
      <c r="F57" s="57">
        <f t="shared" si="12"/>
        <v>2</v>
      </c>
      <c r="G57" s="57">
        <f t="shared" si="12"/>
        <v>0</v>
      </c>
      <c r="H57" s="57">
        <f t="shared" si="12"/>
        <v>0</v>
      </c>
      <c r="I57" s="57">
        <f t="shared" si="12"/>
        <v>1</v>
      </c>
      <c r="J57" s="57">
        <f t="shared" si="12"/>
        <v>0</v>
      </c>
      <c r="K57" s="57">
        <f t="shared" si="12"/>
        <v>2</v>
      </c>
      <c r="L57" s="57">
        <f t="shared" si="12"/>
        <v>2</v>
      </c>
      <c r="M57" s="57">
        <f t="shared" si="12"/>
        <v>0</v>
      </c>
      <c r="N57" s="57">
        <f t="shared" si="12"/>
        <v>0</v>
      </c>
      <c r="O57" s="57">
        <f t="shared" si="12"/>
        <v>0</v>
      </c>
      <c r="P57" s="57">
        <f t="shared" si="12"/>
        <v>0</v>
      </c>
      <c r="Q57" s="57">
        <f t="shared" si="12"/>
        <v>0</v>
      </c>
      <c r="R57" s="57">
        <f t="shared" si="12"/>
        <v>0</v>
      </c>
      <c r="S57" s="57">
        <f t="shared" si="12"/>
        <v>0</v>
      </c>
      <c r="T57" s="57">
        <f t="shared" si="12"/>
        <v>0</v>
      </c>
      <c r="U57" s="57">
        <f t="shared" si="12"/>
        <v>0</v>
      </c>
      <c r="V57" s="57">
        <f t="shared" si="12"/>
        <v>0</v>
      </c>
      <c r="W57" s="57">
        <f t="shared" si="12"/>
        <v>2</v>
      </c>
      <c r="X57" s="57">
        <f t="shared" si="12"/>
        <v>0</v>
      </c>
      <c r="Y57" s="57">
        <f t="shared" si="12"/>
        <v>0</v>
      </c>
      <c r="Z57" s="57">
        <f t="shared" si="12"/>
        <v>0</v>
      </c>
      <c r="AA57" s="57">
        <f t="shared" si="12"/>
        <v>2</v>
      </c>
      <c r="AB57" s="57">
        <f t="shared" si="12"/>
        <v>0</v>
      </c>
      <c r="AC57" s="57">
        <f t="shared" si="12"/>
        <v>0</v>
      </c>
      <c r="AD57" s="57">
        <f t="shared" si="12"/>
        <v>0</v>
      </c>
      <c r="AE57" s="57">
        <f t="shared" si="12"/>
        <v>0</v>
      </c>
      <c r="AF57" s="57">
        <f t="shared" si="12"/>
        <v>0</v>
      </c>
      <c r="AG57" s="57">
        <f t="shared" ref="AG57" si="13">SUM(AG49:AG56)</f>
        <v>0</v>
      </c>
    </row>
    <row r="58" spans="1:34" ht="18">
      <c r="A58" s="61" t="s">
        <v>58</v>
      </c>
      <c r="B58" s="108" t="s">
        <v>59</v>
      </c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10"/>
      <c r="AH58" s="35">
        <f t="shared" si="1"/>
        <v>0</v>
      </c>
    </row>
    <row r="59" spans="1:34">
      <c r="A59" s="57">
        <v>38</v>
      </c>
      <c r="B59" s="57" t="s">
        <v>102</v>
      </c>
      <c r="C59" s="57"/>
      <c r="D59" s="57"/>
      <c r="E59" s="57"/>
      <c r="F59" s="57"/>
      <c r="G59" s="57"/>
      <c r="H59" s="57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35">
        <f t="shared" si="1"/>
        <v>0</v>
      </c>
    </row>
    <row r="60" spans="1:34">
      <c r="A60" s="57">
        <v>39</v>
      </c>
      <c r="B60" s="57" t="s">
        <v>103</v>
      </c>
      <c r="C60" s="57"/>
      <c r="D60" s="57"/>
      <c r="E60" s="57"/>
      <c r="F60" s="57"/>
      <c r="G60" s="57"/>
      <c r="H60" s="57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35">
        <f t="shared" si="1"/>
        <v>0</v>
      </c>
    </row>
    <row r="61" spans="1:34">
      <c r="A61" s="57">
        <v>40</v>
      </c>
      <c r="B61" s="57" t="s">
        <v>104</v>
      </c>
      <c r="C61" s="57"/>
      <c r="D61" s="57"/>
      <c r="E61" s="57"/>
      <c r="F61" s="57"/>
      <c r="G61" s="57"/>
      <c r="H61" s="57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35">
        <f t="shared" si="1"/>
        <v>0</v>
      </c>
    </row>
    <row r="62" spans="1:34">
      <c r="A62" s="57">
        <v>41</v>
      </c>
      <c r="B62" s="57" t="s">
        <v>105</v>
      </c>
      <c r="C62" s="57"/>
      <c r="D62" s="57"/>
      <c r="E62" s="57"/>
      <c r="F62" s="57"/>
      <c r="G62" s="57"/>
      <c r="H62" s="57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35">
        <f t="shared" si="1"/>
        <v>0</v>
      </c>
    </row>
    <row r="63" spans="1:34">
      <c r="A63" s="57">
        <v>42</v>
      </c>
      <c r="B63" s="57" t="s">
        <v>106</v>
      </c>
      <c r="C63" s="57"/>
      <c r="D63" s="57"/>
      <c r="E63" s="57"/>
      <c r="F63" s="57"/>
      <c r="G63" s="57"/>
      <c r="H63" s="57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35">
        <f t="shared" si="1"/>
        <v>0</v>
      </c>
    </row>
    <row r="64" spans="1:34">
      <c r="A64" s="57">
        <v>43</v>
      </c>
      <c r="B64" s="57" t="s">
        <v>107</v>
      </c>
      <c r="C64" s="57"/>
      <c r="D64" s="57"/>
      <c r="E64" s="57"/>
      <c r="F64" s="57"/>
      <c r="G64" s="57"/>
      <c r="H64" s="57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35">
        <f t="shared" si="1"/>
        <v>0</v>
      </c>
    </row>
    <row r="65" spans="1:40">
      <c r="A65" s="57">
        <v>44</v>
      </c>
      <c r="B65" s="57" t="s">
        <v>108</v>
      </c>
      <c r="C65" s="57"/>
      <c r="D65" s="57"/>
      <c r="E65" s="57"/>
      <c r="F65" s="57"/>
      <c r="G65" s="57"/>
      <c r="H65" s="57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35">
        <f t="shared" si="1"/>
        <v>0</v>
      </c>
    </row>
    <row r="66" spans="1:40">
      <c r="A66" s="57">
        <v>45</v>
      </c>
      <c r="B66" s="57" t="s">
        <v>109</v>
      </c>
      <c r="C66" s="57"/>
      <c r="D66" s="57"/>
      <c r="E66" s="57"/>
      <c r="F66" s="57"/>
      <c r="G66" s="57"/>
      <c r="H66" s="57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35">
        <f t="shared" si="1"/>
        <v>0</v>
      </c>
    </row>
    <row r="67" spans="1:40">
      <c r="A67" s="57">
        <v>46</v>
      </c>
      <c r="B67" s="57" t="s">
        <v>59</v>
      </c>
      <c r="C67" s="57"/>
      <c r="D67" s="57"/>
      <c r="E67" s="57">
        <v>2</v>
      </c>
      <c r="F67" s="57">
        <v>2</v>
      </c>
      <c r="G67" s="57">
        <v>2</v>
      </c>
      <c r="H67" s="57"/>
      <c r="I67" s="61">
        <v>2</v>
      </c>
      <c r="J67" s="61">
        <v>1</v>
      </c>
      <c r="K67" s="61"/>
      <c r="L67" s="61"/>
      <c r="M67" s="61">
        <v>2</v>
      </c>
      <c r="N67" s="61">
        <v>1</v>
      </c>
      <c r="O67" s="61"/>
      <c r="P67" s="61">
        <v>2</v>
      </c>
      <c r="Q67" s="61">
        <v>1</v>
      </c>
      <c r="R67" s="61"/>
      <c r="S67" s="61"/>
      <c r="T67" s="61"/>
      <c r="U67" s="61">
        <v>2</v>
      </c>
      <c r="V67" s="61"/>
      <c r="W67" s="61">
        <v>2</v>
      </c>
      <c r="X67" s="61">
        <v>1</v>
      </c>
      <c r="Y67" s="61">
        <v>1</v>
      </c>
      <c r="Z67" s="61">
        <v>2</v>
      </c>
      <c r="AA67" s="61">
        <v>1</v>
      </c>
      <c r="AB67" s="61">
        <v>2</v>
      </c>
      <c r="AC67" s="61"/>
      <c r="AD67" s="61">
        <v>2</v>
      </c>
      <c r="AE67" s="61">
        <v>2</v>
      </c>
      <c r="AF67" s="61">
        <v>2</v>
      </c>
      <c r="AG67" s="61">
        <v>2</v>
      </c>
      <c r="AH67" s="35">
        <f t="shared" si="1"/>
        <v>34</v>
      </c>
      <c r="AN67" s="35">
        <f>SUM(C69:AG69)</f>
        <v>127</v>
      </c>
    </row>
    <row r="68" spans="1:40">
      <c r="A68" s="107" t="s">
        <v>31</v>
      </c>
      <c r="B68" s="107"/>
      <c r="C68" s="61">
        <f>SUM(C59:C67)</f>
        <v>0</v>
      </c>
      <c r="D68" s="61">
        <f t="shared" ref="D68:AF68" si="14">SUM(D59:D67)</f>
        <v>0</v>
      </c>
      <c r="E68" s="61">
        <f t="shared" si="14"/>
        <v>2</v>
      </c>
      <c r="F68" s="61">
        <f t="shared" si="14"/>
        <v>2</v>
      </c>
      <c r="G68" s="61">
        <f t="shared" si="14"/>
        <v>2</v>
      </c>
      <c r="H68" s="61">
        <f t="shared" si="14"/>
        <v>0</v>
      </c>
      <c r="I68" s="61">
        <f t="shared" si="14"/>
        <v>2</v>
      </c>
      <c r="J68" s="61">
        <f t="shared" si="14"/>
        <v>1</v>
      </c>
      <c r="K68" s="61">
        <f t="shared" si="14"/>
        <v>0</v>
      </c>
      <c r="L68" s="61">
        <f t="shared" si="14"/>
        <v>0</v>
      </c>
      <c r="M68" s="61">
        <f t="shared" si="14"/>
        <v>2</v>
      </c>
      <c r="N68" s="61">
        <f t="shared" si="14"/>
        <v>1</v>
      </c>
      <c r="O68" s="61">
        <f t="shared" si="14"/>
        <v>0</v>
      </c>
      <c r="P68" s="61">
        <f t="shared" si="14"/>
        <v>2</v>
      </c>
      <c r="Q68" s="61">
        <f t="shared" si="14"/>
        <v>1</v>
      </c>
      <c r="R68" s="61">
        <f t="shared" si="14"/>
        <v>0</v>
      </c>
      <c r="S68" s="61">
        <f t="shared" si="14"/>
        <v>0</v>
      </c>
      <c r="T68" s="61">
        <f t="shared" si="14"/>
        <v>0</v>
      </c>
      <c r="U68" s="61">
        <f t="shared" si="14"/>
        <v>2</v>
      </c>
      <c r="V68" s="61">
        <f t="shared" si="14"/>
        <v>0</v>
      </c>
      <c r="W68" s="61">
        <f t="shared" si="14"/>
        <v>2</v>
      </c>
      <c r="X68" s="61">
        <f t="shared" si="14"/>
        <v>1</v>
      </c>
      <c r="Y68" s="61">
        <f t="shared" si="14"/>
        <v>1</v>
      </c>
      <c r="Z68" s="61">
        <f t="shared" si="14"/>
        <v>2</v>
      </c>
      <c r="AA68" s="61">
        <f t="shared" si="14"/>
        <v>1</v>
      </c>
      <c r="AB68" s="61">
        <f t="shared" si="14"/>
        <v>2</v>
      </c>
      <c r="AC68" s="61">
        <f t="shared" si="14"/>
        <v>0</v>
      </c>
      <c r="AD68" s="61">
        <f t="shared" si="14"/>
        <v>2</v>
      </c>
      <c r="AE68" s="61">
        <f t="shared" si="14"/>
        <v>2</v>
      </c>
      <c r="AF68" s="61">
        <f t="shared" si="14"/>
        <v>2</v>
      </c>
      <c r="AG68" s="61">
        <f t="shared" ref="AG68" si="15">SUM(AG59:AG67)</f>
        <v>2</v>
      </c>
    </row>
    <row r="69" spans="1:40" ht="15.6">
      <c r="A69" s="106" t="s">
        <v>60</v>
      </c>
      <c r="B69" s="106"/>
      <c r="C69" s="61">
        <f>SUM(C7+C13+C21+C26+C32+C38+C47+C57+C68)</f>
        <v>0</v>
      </c>
      <c r="D69" s="61">
        <f t="shared" ref="D69:AF69" si="16">SUM(D7+D13+D21+D26+D32+D38+D47+D57+D68)</f>
        <v>0</v>
      </c>
      <c r="E69" s="61">
        <f t="shared" si="16"/>
        <v>7</v>
      </c>
      <c r="F69" s="61">
        <f t="shared" si="16"/>
        <v>6</v>
      </c>
      <c r="G69" s="61">
        <f t="shared" si="16"/>
        <v>4</v>
      </c>
      <c r="H69" s="61">
        <f t="shared" si="16"/>
        <v>0</v>
      </c>
      <c r="I69" s="61">
        <f t="shared" si="16"/>
        <v>8</v>
      </c>
      <c r="J69" s="61">
        <f t="shared" si="16"/>
        <v>5</v>
      </c>
      <c r="K69" s="61">
        <f t="shared" si="16"/>
        <v>6</v>
      </c>
      <c r="L69" s="61">
        <f t="shared" si="16"/>
        <v>5</v>
      </c>
      <c r="M69" s="61">
        <f t="shared" si="16"/>
        <v>6</v>
      </c>
      <c r="N69" s="61">
        <f t="shared" si="16"/>
        <v>3</v>
      </c>
      <c r="O69" s="61">
        <f t="shared" si="16"/>
        <v>0</v>
      </c>
      <c r="P69" s="61">
        <f t="shared" si="16"/>
        <v>7</v>
      </c>
      <c r="Q69" s="61">
        <f t="shared" si="16"/>
        <v>5</v>
      </c>
      <c r="R69" s="61">
        <f t="shared" si="16"/>
        <v>4</v>
      </c>
      <c r="S69" s="61">
        <f t="shared" si="16"/>
        <v>2</v>
      </c>
      <c r="T69" s="61">
        <f t="shared" si="16"/>
        <v>0</v>
      </c>
      <c r="U69" s="61">
        <f t="shared" si="16"/>
        <v>2</v>
      </c>
      <c r="V69" s="61">
        <f t="shared" si="16"/>
        <v>0</v>
      </c>
      <c r="W69" s="61">
        <f t="shared" si="16"/>
        <v>6</v>
      </c>
      <c r="X69" s="61">
        <f t="shared" si="16"/>
        <v>5</v>
      </c>
      <c r="Y69" s="61">
        <f t="shared" si="16"/>
        <v>7</v>
      </c>
      <c r="Z69" s="61">
        <f t="shared" si="16"/>
        <v>5</v>
      </c>
      <c r="AA69" s="61">
        <f t="shared" si="16"/>
        <v>7</v>
      </c>
      <c r="AB69" s="61">
        <f t="shared" si="16"/>
        <v>4</v>
      </c>
      <c r="AC69" s="61">
        <f t="shared" si="16"/>
        <v>0</v>
      </c>
      <c r="AD69" s="61">
        <f t="shared" si="16"/>
        <v>7</v>
      </c>
      <c r="AE69" s="61">
        <f t="shared" si="16"/>
        <v>5</v>
      </c>
      <c r="AF69" s="61">
        <f t="shared" si="16"/>
        <v>6</v>
      </c>
      <c r="AG69" s="61">
        <f t="shared" ref="AG69" si="17">SUM(AG7+AG13+AG21+AG26+AG32+AG38+AG47+AG57+AG68)</f>
        <v>5</v>
      </c>
      <c r="AH69" s="36">
        <f>SUM(AH6:AH67)</f>
        <v>127</v>
      </c>
    </row>
    <row r="71" spans="1:40">
      <c r="B71" s="63">
        <f>SUM(C69:AG69)</f>
        <v>127</v>
      </c>
    </row>
  </sheetData>
  <mergeCells count="20">
    <mergeCell ref="A1:AG1"/>
    <mergeCell ref="A2:AG2"/>
    <mergeCell ref="B5:AG5"/>
    <mergeCell ref="A7:B7"/>
    <mergeCell ref="A3:AG3"/>
    <mergeCell ref="B8:AF8"/>
    <mergeCell ref="A13:B13"/>
    <mergeCell ref="A21:B21"/>
    <mergeCell ref="A26:B26"/>
    <mergeCell ref="A68:B68"/>
    <mergeCell ref="A69:B69"/>
    <mergeCell ref="A32:B32"/>
    <mergeCell ref="A38:B38"/>
    <mergeCell ref="A47:B47"/>
    <mergeCell ref="B14:AG14"/>
    <mergeCell ref="B22:AG22"/>
    <mergeCell ref="B39:AG39"/>
    <mergeCell ref="B48:AG48"/>
    <mergeCell ref="B58:AG58"/>
    <mergeCell ref="A57:B57"/>
  </mergeCells>
  <pageMargins left="0.70866141732283472" right="0.70866141732283472" top="0.74803149606299213" bottom="0.74803149606299213" header="0.31496062992125984" footer="0.31496062992125984"/>
  <pageSetup paperSize="7" scale="5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PATRAK-1. OPD-IPD Report</vt:lpstr>
      <vt:lpstr>PATRAK-3. Dava Vaparash</vt:lpstr>
      <vt:lpstr>PATRAK-4. Target</vt:lpstr>
      <vt:lpstr>new rog prakat</vt:lpstr>
      <vt:lpstr>Sheet1</vt:lpstr>
      <vt:lpstr>'new rog prakat'!Print_Area</vt:lpstr>
      <vt:lpstr>'PATRAK-1. OPD-IPD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admin1</dc:creator>
  <cp:lastModifiedBy>Avo Avo</cp:lastModifiedBy>
  <cp:lastPrinted>2022-03-30T18:17:11Z</cp:lastPrinted>
  <dcterms:created xsi:type="dcterms:W3CDTF">2019-10-03T10:08:12Z</dcterms:created>
  <dcterms:modified xsi:type="dcterms:W3CDTF">2022-04-06T17:24:33Z</dcterms:modified>
</cp:coreProperties>
</file>